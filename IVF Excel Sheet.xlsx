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5d8c2abb034f3d4/Desktop/Project Nu/In Vittro Fertilization/"/>
    </mc:Choice>
  </mc:AlternateContent>
  <xr:revisionPtr revIDLastSave="32" documentId="8_{C074B200-B4BB-42E4-BD86-85A5F8E0FC24}" xr6:coauthVersionLast="47" xr6:coauthVersionMax="47" xr10:uidLastSave="{154BFE8C-3DEF-4B68-9597-3AE387F95F05}"/>
  <bookViews>
    <workbookView xWindow="-120" yWindow="-120" windowWidth="20730" windowHeight="11040" activeTab="2" xr2:uid="{00000000-000D-0000-FFFF-FFFF00000000}"/>
  </bookViews>
  <sheets>
    <sheet name="Personal Details" sheetId="1" r:id="rId1"/>
    <sheet name="Medical History" sheetId="2" r:id="rId2"/>
    <sheet name="Clinical Details" sheetId="3" r:id="rId3"/>
  </sheets>
  <calcPr calcId="191029"/>
</workbook>
</file>

<file path=xl/calcChain.xml><?xml version="1.0" encoding="utf-8"?>
<calcChain xmlns="http://schemas.openxmlformats.org/spreadsheetml/2006/main">
  <c r="H2" i="2" l="1"/>
  <c r="N2" i="2"/>
  <c r="H3" i="2"/>
  <c r="N3" i="2"/>
  <c r="H4" i="2"/>
  <c r="N4" i="2"/>
  <c r="H5" i="2"/>
  <c r="N5" i="2"/>
  <c r="H6" i="2"/>
  <c r="N6" i="2"/>
  <c r="H7" i="2"/>
  <c r="H8" i="2"/>
  <c r="N8" i="2"/>
  <c r="H9" i="2"/>
  <c r="N9" i="2"/>
  <c r="H10" i="2"/>
  <c r="H11" i="2"/>
  <c r="N11" i="2"/>
  <c r="H12" i="2"/>
  <c r="N12" i="2"/>
  <c r="H13" i="2"/>
  <c r="N13" i="2"/>
  <c r="H14" i="2"/>
  <c r="N14" i="2"/>
  <c r="H15" i="2"/>
  <c r="N15" i="2"/>
  <c r="H16" i="2"/>
  <c r="N16" i="2"/>
  <c r="H17" i="2"/>
  <c r="N17" i="2"/>
  <c r="H18" i="2"/>
  <c r="N18" i="2"/>
  <c r="H19" i="2"/>
  <c r="N19" i="2"/>
  <c r="H20" i="2"/>
  <c r="N20" i="2"/>
  <c r="H21" i="2"/>
  <c r="N21" i="2"/>
  <c r="H22" i="2"/>
  <c r="N22" i="2"/>
  <c r="H23" i="2"/>
  <c r="N23" i="2"/>
  <c r="H24" i="2"/>
  <c r="N24" i="2"/>
  <c r="H25" i="2"/>
  <c r="N25" i="2"/>
  <c r="H26" i="2"/>
  <c r="N26" i="2"/>
  <c r="H27" i="2"/>
  <c r="N27" i="2"/>
  <c r="H28" i="2"/>
  <c r="N28" i="2"/>
  <c r="H29" i="2"/>
  <c r="N29" i="2"/>
  <c r="H30" i="2"/>
  <c r="N30" i="2"/>
  <c r="H31" i="2"/>
  <c r="N31" i="2"/>
  <c r="H32" i="2"/>
  <c r="N32" i="2"/>
  <c r="H33" i="2"/>
  <c r="N33" i="2"/>
  <c r="H34" i="2"/>
  <c r="N34" i="2"/>
  <c r="H35" i="2"/>
  <c r="N35" i="2"/>
  <c r="H36" i="2"/>
  <c r="N36" i="2"/>
  <c r="H37" i="2"/>
  <c r="N37" i="2"/>
  <c r="H38" i="2"/>
  <c r="N38" i="2"/>
  <c r="H39" i="2"/>
  <c r="N39" i="2"/>
  <c r="H40" i="2"/>
  <c r="N40" i="2"/>
  <c r="H41" i="2"/>
  <c r="N41" i="2"/>
  <c r="H42" i="2"/>
  <c r="N42" i="2"/>
  <c r="H43" i="2"/>
  <c r="N43" i="2"/>
  <c r="H44" i="2"/>
  <c r="N44" i="2"/>
  <c r="H45" i="2"/>
  <c r="N45" i="2"/>
  <c r="H46" i="2"/>
  <c r="N46" i="2"/>
  <c r="H47" i="2"/>
  <c r="N47" i="2"/>
  <c r="H48" i="2"/>
  <c r="N48" i="2"/>
  <c r="H49" i="2"/>
  <c r="N49" i="2"/>
  <c r="H50" i="2"/>
  <c r="N50" i="2"/>
  <c r="H51" i="2"/>
  <c r="N51" i="2"/>
  <c r="H52" i="2"/>
  <c r="N52" i="2"/>
  <c r="H53" i="2"/>
  <c r="N53" i="2"/>
  <c r="H54" i="2"/>
  <c r="N54" i="2"/>
  <c r="H55" i="2"/>
  <c r="N55" i="2"/>
  <c r="H56" i="2"/>
  <c r="N56" i="2"/>
  <c r="H57" i="2"/>
  <c r="N57" i="2"/>
  <c r="H58" i="2"/>
  <c r="N58" i="2"/>
  <c r="H59" i="2"/>
  <c r="N59" i="2"/>
  <c r="H60" i="2"/>
  <c r="N60" i="2"/>
  <c r="H61" i="2"/>
  <c r="N61" i="2"/>
  <c r="H62" i="2"/>
  <c r="N62" i="2"/>
  <c r="H63" i="2"/>
  <c r="N63" i="2"/>
  <c r="H64" i="2"/>
  <c r="N64" i="2"/>
  <c r="H65" i="2"/>
  <c r="N65" i="2"/>
  <c r="H66" i="2"/>
  <c r="N66" i="2"/>
  <c r="H67" i="2"/>
  <c r="N67" i="2"/>
  <c r="H68" i="2"/>
  <c r="N68" i="2"/>
  <c r="H69" i="2"/>
  <c r="N69" i="2"/>
  <c r="H70" i="2"/>
  <c r="N70" i="2"/>
  <c r="H71" i="2"/>
  <c r="N71" i="2"/>
  <c r="H72" i="2"/>
  <c r="N72" i="2"/>
  <c r="H73" i="2"/>
  <c r="N73" i="2"/>
  <c r="H74" i="2"/>
  <c r="N74" i="2"/>
  <c r="H75" i="2"/>
  <c r="N75" i="2"/>
  <c r="H76" i="2"/>
  <c r="N76" i="2"/>
  <c r="H77" i="2"/>
  <c r="N77" i="2"/>
  <c r="H78" i="2"/>
  <c r="N78" i="2"/>
  <c r="H79" i="2"/>
  <c r="N79" i="2"/>
  <c r="H80" i="2"/>
  <c r="N80" i="2"/>
  <c r="H81" i="2"/>
  <c r="N81" i="2"/>
  <c r="H82" i="2"/>
  <c r="N82" i="2"/>
  <c r="H83" i="2"/>
  <c r="N83" i="2"/>
  <c r="H84" i="2"/>
  <c r="N84" i="2"/>
  <c r="H85" i="2"/>
  <c r="N85" i="2"/>
  <c r="H86" i="2"/>
  <c r="N86" i="2"/>
  <c r="H87" i="2"/>
  <c r="N87" i="2"/>
  <c r="H88" i="2"/>
  <c r="N88" i="2"/>
  <c r="H89" i="2"/>
  <c r="N89" i="2"/>
  <c r="H90" i="2"/>
  <c r="N90" i="2"/>
  <c r="H91" i="2"/>
  <c r="N91" i="2"/>
  <c r="H92" i="2"/>
  <c r="N92" i="2"/>
  <c r="H93" i="2"/>
  <c r="N93" i="2"/>
  <c r="H94" i="2"/>
  <c r="N94" i="2"/>
  <c r="H95" i="2"/>
  <c r="N95" i="2"/>
  <c r="H96" i="2"/>
  <c r="N96" i="2"/>
  <c r="H97" i="2"/>
  <c r="N97" i="2"/>
  <c r="H98" i="2"/>
  <c r="N98" i="2"/>
  <c r="H99" i="2"/>
  <c r="N99" i="2"/>
  <c r="H100" i="2"/>
  <c r="N100" i="2"/>
  <c r="H101" i="2"/>
  <c r="N101" i="2"/>
  <c r="H102" i="2"/>
  <c r="N102" i="2"/>
  <c r="H103" i="2"/>
  <c r="N103" i="2"/>
  <c r="H104" i="2"/>
  <c r="N104" i="2"/>
  <c r="H105" i="2"/>
  <c r="N105" i="2"/>
  <c r="H106" i="2"/>
  <c r="N106" i="2"/>
  <c r="H107" i="2"/>
  <c r="N107" i="2"/>
  <c r="H108" i="2"/>
  <c r="N108" i="2"/>
  <c r="H109" i="2"/>
  <c r="N109" i="2"/>
  <c r="H110" i="2"/>
  <c r="N110" i="2"/>
  <c r="H111" i="2"/>
  <c r="N111" i="2"/>
  <c r="H112" i="2"/>
  <c r="N112" i="2"/>
  <c r="H113" i="2"/>
  <c r="N113" i="2"/>
  <c r="H114" i="2"/>
  <c r="N114" i="2"/>
  <c r="H115" i="2"/>
  <c r="N115" i="2"/>
  <c r="H116" i="2"/>
  <c r="N116" i="2"/>
  <c r="H117" i="2"/>
  <c r="N117" i="2"/>
  <c r="H118" i="2"/>
  <c r="N118" i="2"/>
  <c r="H119" i="2"/>
  <c r="N119" i="2"/>
  <c r="H120" i="2"/>
  <c r="N120" i="2"/>
  <c r="H121" i="2"/>
  <c r="N121" i="2"/>
  <c r="H122" i="2"/>
  <c r="N122" i="2"/>
  <c r="H123" i="2"/>
  <c r="N123" i="2"/>
  <c r="H124" i="2"/>
  <c r="N124" i="2"/>
  <c r="H125" i="2"/>
  <c r="N125" i="2"/>
  <c r="H126" i="2"/>
  <c r="N126" i="2"/>
  <c r="H127" i="2"/>
  <c r="N127" i="2"/>
  <c r="H128" i="2"/>
  <c r="N128" i="2"/>
  <c r="H129" i="2"/>
  <c r="N129" i="2"/>
  <c r="H130" i="2"/>
  <c r="N130" i="2"/>
  <c r="H131" i="2"/>
  <c r="N131" i="2"/>
  <c r="H132" i="2"/>
  <c r="N132" i="2"/>
  <c r="H133" i="2"/>
  <c r="N133" i="2"/>
  <c r="H134" i="2"/>
  <c r="N134" i="2"/>
  <c r="H135" i="2"/>
  <c r="N135" i="2"/>
  <c r="H136" i="2"/>
  <c r="N136" i="2"/>
  <c r="H137" i="2"/>
  <c r="N137" i="2"/>
  <c r="H138" i="2"/>
  <c r="N138" i="2"/>
  <c r="H139" i="2"/>
  <c r="N139" i="2"/>
  <c r="H140" i="2"/>
  <c r="N140" i="2"/>
  <c r="H141" i="2"/>
  <c r="N141" i="2"/>
  <c r="H142" i="2"/>
  <c r="N142" i="2"/>
  <c r="H143" i="2"/>
  <c r="N143" i="2"/>
  <c r="H144" i="2"/>
  <c r="N144" i="2"/>
  <c r="H145" i="2"/>
  <c r="N145" i="2"/>
  <c r="H146" i="2"/>
  <c r="N146" i="2"/>
  <c r="H147" i="2"/>
  <c r="N147" i="2"/>
  <c r="H148" i="2"/>
  <c r="N148" i="2"/>
  <c r="H149" i="2"/>
  <c r="N149" i="2"/>
  <c r="H150" i="2"/>
  <c r="N150" i="2"/>
  <c r="H151" i="2"/>
  <c r="N151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3" i="1"/>
  <c r="I4" i="1"/>
  <c r="I2" i="1"/>
</calcChain>
</file>

<file path=xl/sharedStrings.xml><?xml version="1.0" encoding="utf-8"?>
<sst xmlns="http://schemas.openxmlformats.org/spreadsheetml/2006/main" count="3221" uniqueCount="348">
  <si>
    <t>Gender</t>
  </si>
  <si>
    <t>Age</t>
  </si>
  <si>
    <t>Marital Status</t>
  </si>
  <si>
    <t>Duration of Infertility</t>
  </si>
  <si>
    <t>Type of Infertility</t>
  </si>
  <si>
    <t>Season</t>
  </si>
  <si>
    <t>Divya Mishra</t>
  </si>
  <si>
    <t>Female</t>
  </si>
  <si>
    <t>Married</t>
  </si>
  <si>
    <t>Secondary</t>
  </si>
  <si>
    <t>Summer</t>
  </si>
  <si>
    <t>Chaitra Nair</t>
  </si>
  <si>
    <t>Primary</t>
  </si>
  <si>
    <t>Zara Mishra</t>
  </si>
  <si>
    <t>Deepa Sharma</t>
  </si>
  <si>
    <t>Unmarried</t>
  </si>
  <si>
    <t>Neha Nair</t>
  </si>
  <si>
    <t>Ramesh Verma</t>
  </si>
  <si>
    <t>Male</t>
  </si>
  <si>
    <t>Winter</t>
  </si>
  <si>
    <t>Shreya Shetty</t>
  </si>
  <si>
    <t>Rain</t>
  </si>
  <si>
    <t>Vaishnavi Gowda</t>
  </si>
  <si>
    <t>Deepak Singh</t>
  </si>
  <si>
    <t>Autumn</t>
  </si>
  <si>
    <t>Naveen Kumar</t>
  </si>
  <si>
    <t>Santhosh Patel</t>
  </si>
  <si>
    <t>Vidya Das</t>
  </si>
  <si>
    <t>Kiran Patel</t>
  </si>
  <si>
    <t>Siddharth Patel</t>
  </si>
  <si>
    <t>Vikram Verma</t>
  </si>
  <si>
    <t>Aisha Chowdary</t>
  </si>
  <si>
    <t>Neha Joshi</t>
  </si>
  <si>
    <t>Anjali Patil</t>
  </si>
  <si>
    <t>Anand Sharma</t>
  </si>
  <si>
    <t>Shalini Verma</t>
  </si>
  <si>
    <t>Latha Verma</t>
  </si>
  <si>
    <t>Kavitha Pillai</t>
  </si>
  <si>
    <t>Tanisha Gowda</t>
  </si>
  <si>
    <t>Supriya Sharma</t>
  </si>
  <si>
    <t>Lokesh Singh</t>
  </si>
  <si>
    <t>Aparna Sharma</t>
  </si>
  <si>
    <t>Riya Das</t>
  </si>
  <si>
    <t>Arun Gowda</t>
  </si>
  <si>
    <t>Rahul Sharma</t>
  </si>
  <si>
    <t>Kiran Sharma</t>
  </si>
  <si>
    <t>Sandhya Pillai</t>
  </si>
  <si>
    <t>Sarika Joshi</t>
  </si>
  <si>
    <t>Subha Verma</t>
  </si>
  <si>
    <t>Meenakshi Das</t>
  </si>
  <si>
    <t>Karthik Pillai</t>
  </si>
  <si>
    <t>Nikita Patil</t>
  </si>
  <si>
    <t>Anita Shetty</t>
  </si>
  <si>
    <t>Varun Sharma</t>
  </si>
  <si>
    <t>Suresh Sharma</t>
  </si>
  <si>
    <t>Sandhya Mishra</t>
  </si>
  <si>
    <t>Mahima Bose</t>
  </si>
  <si>
    <t>Arun Naidu</t>
  </si>
  <si>
    <t>Kajal Bose</t>
  </si>
  <si>
    <t>Indira Iyer</t>
  </si>
  <si>
    <t>Karthik Verma</t>
  </si>
  <si>
    <t>Neela Joshi</t>
  </si>
  <si>
    <t>Rohit Patel</t>
  </si>
  <si>
    <t>Pallavi Joshi</t>
  </si>
  <si>
    <t>Supriya Kumari</t>
  </si>
  <si>
    <t>Santhosh Das</t>
  </si>
  <si>
    <t>Karthik Gowda</t>
  </si>
  <si>
    <t>Anjali Reddy</t>
  </si>
  <si>
    <t>Sneha Patil</t>
  </si>
  <si>
    <t>Aravind Das</t>
  </si>
  <si>
    <t>Riya Mishra</t>
  </si>
  <si>
    <t>Lavanya Reddy</t>
  </si>
  <si>
    <t>Rohit Das</t>
  </si>
  <si>
    <t>Indira Das</t>
  </si>
  <si>
    <t>Yogesh Naidu</t>
  </si>
  <si>
    <t>Yamuna Mishra</t>
  </si>
  <si>
    <t>Neha Sharma</t>
  </si>
  <si>
    <t>Ishita Reddy</t>
  </si>
  <si>
    <t>Anjali Nair</t>
  </si>
  <si>
    <t>Ishita Mishra</t>
  </si>
  <si>
    <t>Riya Reddy</t>
  </si>
  <si>
    <t>Sindhu Iyer</t>
  </si>
  <si>
    <t>Sindhu Naidu</t>
  </si>
  <si>
    <t>Riya Joshi</t>
  </si>
  <si>
    <t>Deepak Naidu</t>
  </si>
  <si>
    <t>Priya Das</t>
  </si>
  <si>
    <t>Suresh Singh</t>
  </si>
  <si>
    <t>Renu Sharma</t>
  </si>
  <si>
    <t>Geetha Menon</t>
  </si>
  <si>
    <t>Shalini Reddy</t>
  </si>
  <si>
    <t>Anju Bose</t>
  </si>
  <si>
    <t>Kajal Naidu</t>
  </si>
  <si>
    <t>Naveen Sharma</t>
  </si>
  <si>
    <t>Madan Reddy</t>
  </si>
  <si>
    <t>Savitha Menon</t>
  </si>
  <si>
    <t>Zara Pillai</t>
  </si>
  <si>
    <t>Shanthi Nair</t>
  </si>
  <si>
    <t>Prakash Singh</t>
  </si>
  <si>
    <t>Siddharth Sharma</t>
  </si>
  <si>
    <t>Sravani Prasad</t>
  </si>
  <si>
    <t>Latha Singh</t>
  </si>
  <si>
    <t>Haritha Reddy</t>
  </si>
  <si>
    <t>Sindhu Kumari</t>
  </si>
  <si>
    <t>Sunitha Iyer</t>
  </si>
  <si>
    <t>Vaishnavi Bose</t>
  </si>
  <si>
    <t>Priya Naidu</t>
  </si>
  <si>
    <t>Ranjitha Verma</t>
  </si>
  <si>
    <t>Lavanya Naidu</t>
  </si>
  <si>
    <t>Pooja Das</t>
  </si>
  <si>
    <t>Seema Nair</t>
  </si>
  <si>
    <t>Sravani Nair</t>
  </si>
  <si>
    <t>Anand Singh</t>
  </si>
  <si>
    <t>Anju Naidu</t>
  </si>
  <si>
    <t>Preethi Joshi</t>
  </si>
  <si>
    <t>Vikram Naidu</t>
  </si>
  <si>
    <t>Meena Iyer</t>
  </si>
  <si>
    <t>Lavanya Gupta</t>
  </si>
  <si>
    <t>Aisha Joshi</t>
  </si>
  <si>
    <t>Vijay Patel</t>
  </si>
  <si>
    <t>Deepa Singh</t>
  </si>
  <si>
    <t>Vaishnavi Verma</t>
  </si>
  <si>
    <t>Karthik Patel</t>
  </si>
  <si>
    <t>Suresh Naidu</t>
  </si>
  <si>
    <t>Sindhu Menon</t>
  </si>
  <si>
    <t>Ramesh Kumar</t>
  </si>
  <si>
    <t>Keerthi Menon</t>
  </si>
  <si>
    <t>Sindhu Sharma</t>
  </si>
  <si>
    <t>Shalini Sharma</t>
  </si>
  <si>
    <t>Keerthi Chowdary</t>
  </si>
  <si>
    <t>Anusha Das</t>
  </si>
  <si>
    <t>Deepa Mishra</t>
  </si>
  <si>
    <t>Vijay Reddy</t>
  </si>
  <si>
    <t>Santhosh Gowda</t>
  </si>
  <si>
    <t>Divya Gowda</t>
  </si>
  <si>
    <t>Anju Iyer</t>
  </si>
  <si>
    <t>Zara Das</t>
  </si>
  <si>
    <t>Renu Prasad</t>
  </si>
  <si>
    <t>Naveen Gowda</t>
  </si>
  <si>
    <t>Priya Singh</t>
  </si>
  <si>
    <t>Shanthi Iyer</t>
  </si>
  <si>
    <t>Nandini Nair</t>
  </si>
  <si>
    <t>Preethi Reddy</t>
  </si>
  <si>
    <t>Radha Bose</t>
  </si>
  <si>
    <t>Manoj Sharma</t>
  </si>
  <si>
    <t>Santhosh Verma</t>
  </si>
  <si>
    <t>Lavanya Menon</t>
  </si>
  <si>
    <t>Sneha Naidu</t>
  </si>
  <si>
    <t>Riya Sharma</t>
  </si>
  <si>
    <t>Supriya Gupta</t>
  </si>
  <si>
    <t>Trisha Mishra</t>
  </si>
  <si>
    <t>Sandhya Shetty</t>
  </si>
  <si>
    <t>Patient Name</t>
  </si>
  <si>
    <t>Year</t>
  </si>
  <si>
    <t>Childish Diseases</t>
  </si>
  <si>
    <t>Accident / Trauma</t>
  </si>
  <si>
    <t>Surgical Interventions</t>
  </si>
  <si>
    <t>High Fevers Last Year</t>
  </si>
  <si>
    <t>Menstrual History</t>
  </si>
  <si>
    <t>Ovulation History</t>
  </si>
  <si>
    <t>Previous IVF Attempts</t>
  </si>
  <si>
    <t>Previous Pregnancies/Miscarriages</t>
  </si>
  <si>
    <t>Family History of Infertility</t>
  </si>
  <si>
    <t>Smoking Habit</t>
  </si>
  <si>
    <t>Alcohol Consumption</t>
  </si>
  <si>
    <t>None</t>
  </si>
  <si>
    <t>Yes</t>
  </si>
  <si>
    <t>C-section</t>
  </si>
  <si>
    <t>Irregular</t>
  </si>
  <si>
    <t>Strong</t>
  </si>
  <si>
    <t>No</t>
  </si>
  <si>
    <t>Never</t>
  </si>
  <si>
    <t>Chickenpox</t>
  </si>
  <si>
    <t>Knee Surgery</t>
  </si>
  <si>
    <t>N/A</t>
  </si>
  <si>
    <t>Occasional</t>
  </si>
  <si>
    <t>Mumps</t>
  </si>
  <si>
    <t>Regular</t>
  </si>
  <si>
    <t>Weak</t>
  </si>
  <si>
    <t>3+</t>
  </si>
  <si>
    <t>Appendix</t>
  </si>
  <si>
    <t>Measles</t>
  </si>
  <si>
    <t>Normal</t>
  </si>
  <si>
    <t>AMH Level (ng/mL)</t>
  </si>
  <si>
    <t>AFC (Count)</t>
  </si>
  <si>
    <t>FSH (mIU/mL)</t>
  </si>
  <si>
    <t>LH (mIU/mL)</t>
  </si>
  <si>
    <t>TSH (µIU/mL)</t>
  </si>
  <si>
    <t>Prolactin (ng/mL)</t>
  </si>
  <si>
    <t>Diagnosis</t>
  </si>
  <si>
    <t>Stimulation Protocol</t>
  </si>
  <si>
    <t>Medications Used</t>
  </si>
  <si>
    <t>Eggs Retrieved</t>
  </si>
  <si>
    <t>Embryos Formed</t>
  </si>
  <si>
    <t>Embryo Transfer Day</t>
  </si>
  <si>
    <t>Result</t>
  </si>
  <si>
    <t>PCOS</t>
  </si>
  <si>
    <t>Short Protocol</t>
  </si>
  <si>
    <t>Letrozole</t>
  </si>
  <si>
    <t>Day 3</t>
  </si>
  <si>
    <t>Negative</t>
  </si>
  <si>
    <t>Low Motility</t>
  </si>
  <si>
    <t>Endometriosis</t>
  </si>
  <si>
    <t>Long Protocol</t>
  </si>
  <si>
    <t>Clomid</t>
  </si>
  <si>
    <t>Day 5</t>
  </si>
  <si>
    <t>Positive</t>
  </si>
  <si>
    <t>Not Applicable</t>
  </si>
  <si>
    <t>Low AMH</t>
  </si>
  <si>
    <t>Unexplained</t>
  </si>
  <si>
    <t>Menopur</t>
  </si>
  <si>
    <t>Male Factor</t>
  </si>
  <si>
    <t>Low Count</t>
  </si>
  <si>
    <t>Antagonist</t>
  </si>
  <si>
    <t>Mixed Protocol</t>
  </si>
  <si>
    <t>Gonal-F</t>
  </si>
  <si>
    <t>Mild Stimulation</t>
  </si>
  <si>
    <t>Hrs Sitting P/D</t>
  </si>
  <si>
    <t>Patient No</t>
  </si>
  <si>
    <t>Children</t>
  </si>
  <si>
    <t>Semen Analysis</t>
  </si>
  <si>
    <t>Hand Surgery</t>
  </si>
  <si>
    <t>Place</t>
  </si>
  <si>
    <t xml:space="preserve">Bangalore  </t>
  </si>
  <si>
    <t xml:space="preserve">Chennai  </t>
  </si>
  <si>
    <t xml:space="preserve">Hyderabad  </t>
  </si>
  <si>
    <t xml:space="preserve">Mumbai  </t>
  </si>
  <si>
    <t xml:space="preserve">Pune  </t>
  </si>
  <si>
    <t xml:space="preserve">Mysore  </t>
  </si>
  <si>
    <t xml:space="preserve">Surat  </t>
  </si>
  <si>
    <t xml:space="preserve">Jaipur  </t>
  </si>
  <si>
    <t xml:space="preserve">Lucknow  </t>
  </si>
  <si>
    <t xml:space="preserve">Patna  </t>
  </si>
  <si>
    <t xml:space="preserve">Indore  </t>
  </si>
  <si>
    <t xml:space="preserve">Kochi  </t>
  </si>
  <si>
    <t xml:space="preserve">Trivandrum  </t>
  </si>
  <si>
    <t xml:space="preserve">Goa  </t>
  </si>
  <si>
    <t xml:space="preserve">Chandigarh  </t>
  </si>
  <si>
    <t xml:space="preserve">Noida  </t>
  </si>
  <si>
    <t xml:space="preserve">Gurugram  </t>
  </si>
  <si>
    <t xml:space="preserve">Varanasi  </t>
  </si>
  <si>
    <t xml:space="preserve">Madurai  </t>
  </si>
  <si>
    <t xml:space="preserve">Raipur  </t>
  </si>
  <si>
    <t xml:space="preserve">Ranchi  </t>
  </si>
  <si>
    <t xml:space="preserve">Bhubaneswar  </t>
  </si>
  <si>
    <t xml:space="preserve">Guwahati  </t>
  </si>
  <si>
    <t xml:space="preserve">Shillong  </t>
  </si>
  <si>
    <t xml:space="preserve">Imphal  </t>
  </si>
  <si>
    <t xml:space="preserve">Aizawl  </t>
  </si>
  <si>
    <t xml:space="preserve">Gangtok  </t>
  </si>
  <si>
    <t xml:space="preserve">Leh  </t>
  </si>
  <si>
    <t xml:space="preserve">Srinagar  </t>
  </si>
  <si>
    <t xml:space="preserve">Amritsar  </t>
  </si>
  <si>
    <t xml:space="preserve">Ludhiana  </t>
  </si>
  <si>
    <t xml:space="preserve">Jalandhar  </t>
  </si>
  <si>
    <t xml:space="preserve">Dehradun  </t>
  </si>
  <si>
    <t xml:space="preserve">Haridwar  </t>
  </si>
  <si>
    <t xml:space="preserve">Rishikesh  </t>
  </si>
  <si>
    <t xml:space="preserve">Shimla  </t>
  </si>
  <si>
    <t xml:space="preserve">Manali  </t>
  </si>
  <si>
    <t xml:space="preserve">Dharamshala  </t>
  </si>
  <si>
    <t xml:space="preserve">Udaipur  </t>
  </si>
  <si>
    <t xml:space="preserve">Jodhpur  </t>
  </si>
  <si>
    <t xml:space="preserve">Ajmer  </t>
  </si>
  <si>
    <t xml:space="preserve">Kota  </t>
  </si>
  <si>
    <t xml:space="preserve">Aligarh  </t>
  </si>
  <si>
    <t xml:space="preserve">Meerut  </t>
  </si>
  <si>
    <t xml:space="preserve">Ghaziabad  </t>
  </si>
  <si>
    <t xml:space="preserve">Faridabad  </t>
  </si>
  <si>
    <t xml:space="preserve">Gwalior  </t>
  </si>
  <si>
    <t xml:space="preserve">Jabalpur  </t>
  </si>
  <si>
    <t xml:space="preserve">Aurangabad  </t>
  </si>
  <si>
    <t xml:space="preserve">Nashik  </t>
  </si>
  <si>
    <t xml:space="preserve">Satara  </t>
  </si>
  <si>
    <t xml:space="preserve">Kolhapur  </t>
  </si>
  <si>
    <t xml:space="preserve">Belgaum  </t>
  </si>
  <si>
    <t xml:space="preserve">Hubli  </t>
  </si>
  <si>
    <t xml:space="preserve">Davangere  </t>
  </si>
  <si>
    <t xml:space="preserve">Tumkur  </t>
  </si>
  <si>
    <t xml:space="preserve">Hassan  </t>
  </si>
  <si>
    <t xml:space="preserve">Mangalore  </t>
  </si>
  <si>
    <t xml:space="preserve">Kolar  </t>
  </si>
  <si>
    <t xml:space="preserve">Tirupati  </t>
  </si>
  <si>
    <t xml:space="preserve">Nellore  </t>
  </si>
  <si>
    <t xml:space="preserve">Vijayawada  </t>
  </si>
  <si>
    <t xml:space="preserve">Guntur  </t>
  </si>
  <si>
    <t xml:space="preserve">Rajahmundry  </t>
  </si>
  <si>
    <t xml:space="preserve">Warangal  </t>
  </si>
  <si>
    <t xml:space="preserve">Karimnagar  </t>
  </si>
  <si>
    <t xml:space="preserve">Nizamabad  </t>
  </si>
  <si>
    <t xml:space="preserve">Vizag  </t>
  </si>
  <si>
    <t xml:space="preserve">Siliguri  </t>
  </si>
  <si>
    <t xml:space="preserve">Darjeeling  </t>
  </si>
  <si>
    <t xml:space="preserve">Durgapur  </t>
  </si>
  <si>
    <t xml:space="preserve">Asansol  </t>
  </si>
  <si>
    <t xml:space="preserve">Howrah  </t>
  </si>
  <si>
    <t xml:space="preserve">Kharagpur  </t>
  </si>
  <si>
    <t xml:space="preserve">Cuttack  </t>
  </si>
  <si>
    <t xml:space="preserve">Puri  </t>
  </si>
  <si>
    <t xml:space="preserve">Balasore  </t>
  </si>
  <si>
    <t xml:space="preserve">Jamshedpur  </t>
  </si>
  <si>
    <t xml:space="preserve">Dhanbad  </t>
  </si>
  <si>
    <t xml:space="preserve">Bokaro  </t>
  </si>
  <si>
    <t xml:space="preserve">Hazaribagh  </t>
  </si>
  <si>
    <t xml:space="preserve">Muzaffarpur  </t>
  </si>
  <si>
    <t xml:space="preserve">Gaya  </t>
  </si>
  <si>
    <t xml:space="preserve">Begusarai  </t>
  </si>
  <si>
    <t xml:space="preserve">Saharsa  </t>
  </si>
  <si>
    <t xml:space="preserve">Motihari  </t>
  </si>
  <si>
    <t xml:space="preserve">Sitamarhi  </t>
  </si>
  <si>
    <t xml:space="preserve">Rohtak  </t>
  </si>
  <si>
    <t xml:space="preserve">Panipat  </t>
  </si>
  <si>
    <t xml:space="preserve">Sonipat  </t>
  </si>
  <si>
    <t xml:space="preserve">Hisar  </t>
  </si>
  <si>
    <t xml:space="preserve">Kurukshetra  </t>
  </si>
  <si>
    <t xml:space="preserve">Ambala  </t>
  </si>
  <si>
    <t xml:space="preserve">Yamunanagar  </t>
  </si>
  <si>
    <t xml:space="preserve">Palakkad  </t>
  </si>
  <si>
    <t xml:space="preserve">Kannur  </t>
  </si>
  <si>
    <t xml:space="preserve">Kozhikode  </t>
  </si>
  <si>
    <t xml:space="preserve">Alappuzha  </t>
  </si>
  <si>
    <t xml:space="preserve">Kottayam  </t>
  </si>
  <si>
    <t xml:space="preserve">Thrissur  </t>
  </si>
  <si>
    <t xml:space="preserve">Ernakulam  </t>
  </si>
  <si>
    <t xml:space="preserve">Pathanamthitta  </t>
  </si>
  <si>
    <t xml:space="preserve">Kasaragod  </t>
  </si>
  <si>
    <t xml:space="preserve">Port Blair  </t>
  </si>
  <si>
    <t xml:space="preserve">Lakshadweep  </t>
  </si>
  <si>
    <t xml:space="preserve">Diu  </t>
  </si>
  <si>
    <t xml:space="preserve">Daman  </t>
  </si>
  <si>
    <t xml:space="preserve">Silvassa  </t>
  </si>
  <si>
    <t xml:space="preserve">Gandhinagar  </t>
  </si>
  <si>
    <t xml:space="preserve">Vadodara  </t>
  </si>
  <si>
    <t xml:space="preserve">Rajkot  </t>
  </si>
  <si>
    <t xml:space="preserve">Jamnagar  </t>
  </si>
  <si>
    <t xml:space="preserve">Bhavnagar  </t>
  </si>
  <si>
    <t xml:space="preserve">Junagadh  </t>
  </si>
  <si>
    <t xml:space="preserve">Porbandar  </t>
  </si>
  <si>
    <t xml:space="preserve">Anand  </t>
  </si>
  <si>
    <t xml:space="preserve">Nadiad  </t>
  </si>
  <si>
    <t xml:space="preserve">Navsari  </t>
  </si>
  <si>
    <t xml:space="preserve">Valsad  </t>
  </si>
  <si>
    <t xml:space="preserve">Tirunelveli  </t>
  </si>
  <si>
    <t xml:space="preserve">Thanjavur  </t>
  </si>
  <si>
    <t xml:space="preserve">Kanchipuram  </t>
  </si>
  <si>
    <t xml:space="preserve">Erode  </t>
  </si>
  <si>
    <t xml:space="preserve">Salem  </t>
  </si>
  <si>
    <t xml:space="preserve">Vellore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</si>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</sst>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4B08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4" borderId="1" xfId="0" applyFont="1" applyFill="1" applyBorder="1" applyAlignment="1"/>
    <xf numFmtId="0" fontId="2" fillId="5" borderId="1" xfId="0" applyFont="1" applyFill="1" applyBorder="1" applyAlignment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3"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workbookViewId="0">
      <selection activeCell="K6" sqref="A1:XFD1048576"/>
    </sheetView>
  </sheetViews>
  <sheetFormatPr defaultRowHeight="15" x14ac:dyDescent="0.25"/>
  <cols>
    <col min="1" max="1" width="17.140625" style="7" customWidth="1"/>
    <col min="2" max="2" width="19.7109375" style="7" customWidth="1"/>
    <col min="3" max="4" width="9.140625" style="7"/>
    <col min="5" max="5" width="16.85546875" style="7" customWidth="1"/>
    <col min="6" max="7" width="22.85546875" style="7" customWidth="1"/>
    <col min="8" max="8" width="16.7109375" style="7" customWidth="1"/>
    <col min="9" max="9" width="19" style="7" customWidth="1"/>
    <col min="10" max="10" width="14.42578125" style="7" customWidth="1"/>
    <col min="11" max="16384" width="9.140625" style="7"/>
  </cols>
  <sheetData>
    <row r="1" spans="1:11" x14ac:dyDescent="0.25">
      <c r="A1" s="6" t="s">
        <v>217</v>
      </c>
      <c r="B1" s="6" t="s">
        <v>151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152</v>
      </c>
      <c r="J1" s="6" t="s">
        <v>221</v>
      </c>
    </row>
    <row r="2" spans="1:11" x14ac:dyDescent="0.25">
      <c r="A2" s="4">
        <v>1</v>
      </c>
      <c r="B2" s="4" t="s">
        <v>6</v>
      </c>
      <c r="C2" s="4" t="s">
        <v>7</v>
      </c>
      <c r="D2" s="4">
        <v>24</v>
      </c>
      <c r="E2" s="4" t="s">
        <v>8</v>
      </c>
      <c r="F2" s="4">
        <v>7.5</v>
      </c>
      <c r="G2" s="4" t="s">
        <v>9</v>
      </c>
      <c r="H2" s="4" t="s">
        <v>10</v>
      </c>
      <c r="I2" s="4">
        <f ca="1">RANDBETWEEN(2020,2025)</f>
        <v>2025</v>
      </c>
      <c r="J2" s="7" t="s">
        <v>222</v>
      </c>
    </row>
    <row r="3" spans="1:11" x14ac:dyDescent="0.25">
      <c r="A3" s="4">
        <v>2</v>
      </c>
      <c r="B3" s="4" t="s">
        <v>11</v>
      </c>
      <c r="C3" s="4" t="s">
        <v>7</v>
      </c>
      <c r="D3" s="4">
        <v>24</v>
      </c>
      <c r="E3" s="4" t="s">
        <v>8</v>
      </c>
      <c r="F3" s="4">
        <v>0.5</v>
      </c>
      <c r="G3" s="4" t="s">
        <v>12</v>
      </c>
      <c r="H3" s="4" t="s">
        <v>10</v>
      </c>
      <c r="I3" s="4">
        <f t="shared" ref="I3:I66" ca="1" si="0">RANDBETWEEN(2020,2025)</f>
        <v>2020</v>
      </c>
      <c r="J3" s="7" t="s">
        <v>223</v>
      </c>
    </row>
    <row r="4" spans="1:11" x14ac:dyDescent="0.25">
      <c r="A4" s="4">
        <v>3</v>
      </c>
      <c r="B4" s="4" t="s">
        <v>13</v>
      </c>
      <c r="C4" s="4" t="s">
        <v>7</v>
      </c>
      <c r="D4" s="4">
        <v>20</v>
      </c>
      <c r="E4" s="4" t="s">
        <v>8</v>
      </c>
      <c r="F4" s="4">
        <v>7.4</v>
      </c>
      <c r="G4" s="4" t="s">
        <v>9</v>
      </c>
      <c r="H4" s="4" t="s">
        <v>10</v>
      </c>
      <c r="I4" s="4">
        <f t="shared" ca="1" si="0"/>
        <v>2025</v>
      </c>
      <c r="J4" s="7" t="s">
        <v>224</v>
      </c>
    </row>
    <row r="5" spans="1:11" x14ac:dyDescent="0.25">
      <c r="A5" s="4">
        <v>4</v>
      </c>
      <c r="B5" s="4" t="s">
        <v>14</v>
      </c>
      <c r="C5" s="4" t="s">
        <v>7</v>
      </c>
      <c r="D5" s="4">
        <v>21</v>
      </c>
      <c r="E5" s="4" t="s">
        <v>15</v>
      </c>
      <c r="F5" s="4">
        <v>5</v>
      </c>
      <c r="G5" s="4" t="s">
        <v>12</v>
      </c>
      <c r="H5" s="4" t="s">
        <v>10</v>
      </c>
      <c r="I5" s="4">
        <f t="shared" ca="1" si="0"/>
        <v>2022</v>
      </c>
      <c r="J5" s="7" t="s">
        <v>225</v>
      </c>
    </row>
    <row r="6" spans="1:11" x14ac:dyDescent="0.25">
      <c r="A6" s="4">
        <v>5</v>
      </c>
      <c r="B6" s="4" t="s">
        <v>16</v>
      </c>
      <c r="C6" s="4" t="s">
        <v>7</v>
      </c>
      <c r="D6" s="4">
        <v>21</v>
      </c>
      <c r="E6" s="4" t="s">
        <v>15</v>
      </c>
      <c r="F6" s="4">
        <v>3.5</v>
      </c>
      <c r="G6" s="4" t="s">
        <v>9</v>
      </c>
      <c r="H6" s="4" t="s">
        <v>10</v>
      </c>
      <c r="I6" s="4">
        <f t="shared" ca="1" si="0"/>
        <v>2025</v>
      </c>
      <c r="J6" s="7" t="s">
        <v>226</v>
      </c>
      <c r="K6" s="7" t="s">
        <v>347</v>
      </c>
    </row>
    <row r="7" spans="1:11" x14ac:dyDescent="0.25">
      <c r="A7" s="4">
        <v>6</v>
      </c>
      <c r="B7" s="4" t="s">
        <v>17</v>
      </c>
      <c r="C7" s="4" t="s">
        <v>18</v>
      </c>
      <c r="D7" s="4">
        <v>33</v>
      </c>
      <c r="E7" s="4" t="s">
        <v>15</v>
      </c>
      <c r="F7" s="4">
        <v>0.8</v>
      </c>
      <c r="G7" s="4" t="s">
        <v>9</v>
      </c>
      <c r="H7" s="4" t="s">
        <v>19</v>
      </c>
      <c r="I7" s="4">
        <f t="shared" ca="1" si="0"/>
        <v>2022</v>
      </c>
      <c r="J7" s="7" t="s">
        <v>227</v>
      </c>
    </row>
    <row r="8" spans="1:11" x14ac:dyDescent="0.25">
      <c r="A8" s="4">
        <v>7</v>
      </c>
      <c r="B8" s="4" t="s">
        <v>20</v>
      </c>
      <c r="C8" s="4" t="s">
        <v>7</v>
      </c>
      <c r="D8" s="4">
        <v>18</v>
      </c>
      <c r="E8" s="4" t="s">
        <v>15</v>
      </c>
      <c r="F8" s="4">
        <v>5.2</v>
      </c>
      <c r="G8" s="4" t="s">
        <v>9</v>
      </c>
      <c r="H8" s="4" t="s">
        <v>21</v>
      </c>
      <c r="I8" s="4">
        <f t="shared" ca="1" si="0"/>
        <v>2025</v>
      </c>
      <c r="J8" s="7" t="s">
        <v>228</v>
      </c>
    </row>
    <row r="9" spans="1:11" x14ac:dyDescent="0.25">
      <c r="A9" s="4">
        <v>8</v>
      </c>
      <c r="B9" s="4" t="s">
        <v>22</v>
      </c>
      <c r="C9" s="4" t="s">
        <v>7</v>
      </c>
      <c r="D9" s="4">
        <v>24</v>
      </c>
      <c r="E9" s="4" t="s">
        <v>15</v>
      </c>
      <c r="F9" s="4">
        <v>4</v>
      </c>
      <c r="G9" s="4" t="s">
        <v>9</v>
      </c>
      <c r="H9" s="4" t="s">
        <v>21</v>
      </c>
      <c r="I9" s="4">
        <f t="shared" ca="1" si="0"/>
        <v>2024</v>
      </c>
      <c r="J9" s="7" t="s">
        <v>229</v>
      </c>
    </row>
    <row r="10" spans="1:11" x14ac:dyDescent="0.25">
      <c r="A10" s="4">
        <v>9</v>
      </c>
      <c r="B10" s="4" t="s">
        <v>23</v>
      </c>
      <c r="C10" s="4" t="s">
        <v>18</v>
      </c>
      <c r="D10" s="4">
        <v>24</v>
      </c>
      <c r="E10" s="4" t="s">
        <v>8</v>
      </c>
      <c r="F10" s="4">
        <v>2.2000000000000002</v>
      </c>
      <c r="G10" s="4" t="s">
        <v>9</v>
      </c>
      <c r="H10" s="4" t="s">
        <v>24</v>
      </c>
      <c r="I10" s="4">
        <f t="shared" ca="1" si="0"/>
        <v>2021</v>
      </c>
      <c r="J10" s="7" t="s">
        <v>230</v>
      </c>
    </row>
    <row r="11" spans="1:11" x14ac:dyDescent="0.25">
      <c r="A11" s="4">
        <v>10</v>
      </c>
      <c r="B11" s="4" t="s">
        <v>25</v>
      </c>
      <c r="C11" s="4" t="s">
        <v>18</v>
      </c>
      <c r="D11" s="4">
        <v>22</v>
      </c>
      <c r="E11" s="4" t="s">
        <v>8</v>
      </c>
      <c r="F11" s="4">
        <v>1.6</v>
      </c>
      <c r="G11" s="4" t="s">
        <v>9</v>
      </c>
      <c r="H11" s="4" t="s">
        <v>24</v>
      </c>
      <c r="I11" s="4">
        <f t="shared" ca="1" si="0"/>
        <v>2020</v>
      </c>
      <c r="J11" s="7" t="s">
        <v>231</v>
      </c>
    </row>
    <row r="12" spans="1:11" x14ac:dyDescent="0.25">
      <c r="A12" s="4">
        <v>11</v>
      </c>
      <c r="B12" s="4" t="s">
        <v>26</v>
      </c>
      <c r="C12" s="4" t="s">
        <v>18</v>
      </c>
      <c r="D12" s="4">
        <v>29</v>
      </c>
      <c r="E12" s="4" t="s">
        <v>15</v>
      </c>
      <c r="F12" s="4">
        <v>9.1999999999999993</v>
      </c>
      <c r="G12" s="4" t="s">
        <v>12</v>
      </c>
      <c r="H12" s="4" t="s">
        <v>19</v>
      </c>
      <c r="I12" s="4">
        <f t="shared" ca="1" si="0"/>
        <v>2025</v>
      </c>
      <c r="J12" s="7" t="s">
        <v>232</v>
      </c>
    </row>
    <row r="13" spans="1:11" x14ac:dyDescent="0.25">
      <c r="A13" s="4">
        <v>12</v>
      </c>
      <c r="B13" s="4" t="s">
        <v>27</v>
      </c>
      <c r="C13" s="4" t="s">
        <v>7</v>
      </c>
      <c r="D13" s="4">
        <v>28</v>
      </c>
      <c r="E13" s="4" t="s">
        <v>8</v>
      </c>
      <c r="F13" s="4">
        <v>0.7</v>
      </c>
      <c r="G13" s="4" t="s">
        <v>9</v>
      </c>
      <c r="H13" s="4" t="s">
        <v>10</v>
      </c>
      <c r="I13" s="4">
        <f t="shared" ca="1" si="0"/>
        <v>2020</v>
      </c>
      <c r="J13" s="7" t="s">
        <v>233</v>
      </c>
    </row>
    <row r="14" spans="1:11" x14ac:dyDescent="0.25">
      <c r="A14" s="4">
        <v>13</v>
      </c>
      <c r="B14" s="4" t="s">
        <v>28</v>
      </c>
      <c r="C14" s="4" t="s">
        <v>18</v>
      </c>
      <c r="D14" s="4">
        <v>40</v>
      </c>
      <c r="E14" s="4" t="s">
        <v>15</v>
      </c>
      <c r="F14" s="4">
        <v>7.4</v>
      </c>
      <c r="G14" s="4" t="s">
        <v>12</v>
      </c>
      <c r="H14" s="4" t="s">
        <v>24</v>
      </c>
      <c r="I14" s="4">
        <f t="shared" ca="1" si="0"/>
        <v>2023</v>
      </c>
      <c r="J14" s="7" t="s">
        <v>234</v>
      </c>
    </row>
    <row r="15" spans="1:11" x14ac:dyDescent="0.25">
      <c r="A15" s="4">
        <v>14</v>
      </c>
      <c r="B15" s="4" t="s">
        <v>29</v>
      </c>
      <c r="C15" s="4" t="s">
        <v>18</v>
      </c>
      <c r="D15" s="4">
        <v>24</v>
      </c>
      <c r="E15" s="4" t="s">
        <v>8</v>
      </c>
      <c r="F15" s="4">
        <v>0.9</v>
      </c>
      <c r="G15" s="4" t="s">
        <v>12</v>
      </c>
      <c r="H15" s="4" t="s">
        <v>19</v>
      </c>
      <c r="I15" s="4">
        <f t="shared" ca="1" si="0"/>
        <v>2024</v>
      </c>
      <c r="J15" s="7" t="s">
        <v>235</v>
      </c>
    </row>
    <row r="16" spans="1:11" x14ac:dyDescent="0.25">
      <c r="A16" s="4">
        <v>15</v>
      </c>
      <c r="B16" s="4" t="s">
        <v>30</v>
      </c>
      <c r="C16" s="4" t="s">
        <v>18</v>
      </c>
      <c r="D16" s="4">
        <v>39</v>
      </c>
      <c r="E16" s="4" t="s">
        <v>15</v>
      </c>
      <c r="F16" s="4">
        <v>3.3</v>
      </c>
      <c r="G16" s="4" t="s">
        <v>12</v>
      </c>
      <c r="H16" s="4" t="s">
        <v>19</v>
      </c>
      <c r="I16" s="4">
        <f t="shared" ca="1" si="0"/>
        <v>2025</v>
      </c>
      <c r="J16" s="7" t="s">
        <v>236</v>
      </c>
    </row>
    <row r="17" spans="1:10" x14ac:dyDescent="0.25">
      <c r="A17" s="4">
        <v>16</v>
      </c>
      <c r="B17" s="4" t="s">
        <v>31</v>
      </c>
      <c r="C17" s="4" t="s">
        <v>7</v>
      </c>
      <c r="D17" s="4">
        <v>28</v>
      </c>
      <c r="E17" s="4" t="s">
        <v>15</v>
      </c>
      <c r="F17" s="4">
        <v>0.9</v>
      </c>
      <c r="G17" s="4" t="s">
        <v>9</v>
      </c>
      <c r="H17" s="4" t="s">
        <v>24</v>
      </c>
      <c r="I17" s="4">
        <f t="shared" ca="1" si="0"/>
        <v>2025</v>
      </c>
      <c r="J17" s="7" t="s">
        <v>237</v>
      </c>
    </row>
    <row r="18" spans="1:10" x14ac:dyDescent="0.25">
      <c r="A18" s="4">
        <v>17</v>
      </c>
      <c r="B18" s="4" t="s">
        <v>32</v>
      </c>
      <c r="C18" s="4" t="s">
        <v>7</v>
      </c>
      <c r="D18" s="4">
        <v>33</v>
      </c>
      <c r="E18" s="4" t="s">
        <v>15</v>
      </c>
      <c r="F18" s="4">
        <v>6.9</v>
      </c>
      <c r="G18" s="4" t="s">
        <v>9</v>
      </c>
      <c r="H18" s="4" t="s">
        <v>21</v>
      </c>
      <c r="I18" s="4">
        <f t="shared" ca="1" si="0"/>
        <v>2024</v>
      </c>
      <c r="J18" s="7" t="s">
        <v>238</v>
      </c>
    </row>
    <row r="19" spans="1:10" x14ac:dyDescent="0.25">
      <c r="A19" s="4">
        <v>18</v>
      </c>
      <c r="B19" s="4" t="s">
        <v>33</v>
      </c>
      <c r="C19" s="4" t="s">
        <v>7</v>
      </c>
      <c r="D19" s="4">
        <v>25</v>
      </c>
      <c r="E19" s="4" t="s">
        <v>15</v>
      </c>
      <c r="F19" s="4">
        <v>2.1</v>
      </c>
      <c r="G19" s="4" t="s">
        <v>12</v>
      </c>
      <c r="H19" s="4" t="s">
        <v>21</v>
      </c>
      <c r="I19" s="4">
        <f t="shared" ca="1" si="0"/>
        <v>2022</v>
      </c>
      <c r="J19" s="7" t="s">
        <v>239</v>
      </c>
    </row>
    <row r="20" spans="1:10" x14ac:dyDescent="0.25">
      <c r="A20" s="4">
        <v>19</v>
      </c>
      <c r="B20" s="4" t="s">
        <v>34</v>
      </c>
      <c r="C20" s="4" t="s">
        <v>18</v>
      </c>
      <c r="D20" s="4">
        <v>37</v>
      </c>
      <c r="E20" s="4" t="s">
        <v>15</v>
      </c>
      <c r="F20" s="4">
        <v>2.5</v>
      </c>
      <c r="G20" s="4" t="s">
        <v>9</v>
      </c>
      <c r="H20" s="4" t="s">
        <v>24</v>
      </c>
      <c r="I20" s="4">
        <f t="shared" ca="1" si="0"/>
        <v>2023</v>
      </c>
      <c r="J20" s="7" t="s">
        <v>240</v>
      </c>
    </row>
    <row r="21" spans="1:10" x14ac:dyDescent="0.25">
      <c r="A21" s="4">
        <v>20</v>
      </c>
      <c r="B21" s="4" t="s">
        <v>35</v>
      </c>
      <c r="C21" s="4" t="s">
        <v>7</v>
      </c>
      <c r="D21" s="4">
        <v>20</v>
      </c>
      <c r="E21" s="4" t="s">
        <v>15</v>
      </c>
      <c r="F21" s="4">
        <v>2</v>
      </c>
      <c r="G21" s="4" t="s">
        <v>12</v>
      </c>
      <c r="H21" s="4" t="s">
        <v>19</v>
      </c>
      <c r="I21" s="4">
        <f t="shared" ca="1" si="0"/>
        <v>2022</v>
      </c>
      <c r="J21" s="7" t="s">
        <v>241</v>
      </c>
    </row>
    <row r="22" spans="1:10" x14ac:dyDescent="0.25">
      <c r="A22" s="4">
        <v>21</v>
      </c>
      <c r="B22" s="4" t="s">
        <v>36</v>
      </c>
      <c r="C22" s="4" t="s">
        <v>7</v>
      </c>
      <c r="D22" s="4">
        <v>30</v>
      </c>
      <c r="E22" s="4" t="s">
        <v>15</v>
      </c>
      <c r="F22" s="4">
        <v>6.2</v>
      </c>
      <c r="G22" s="4" t="s">
        <v>12</v>
      </c>
      <c r="H22" s="4" t="s">
        <v>10</v>
      </c>
      <c r="I22" s="4">
        <f t="shared" ca="1" si="0"/>
        <v>2020</v>
      </c>
      <c r="J22" s="7" t="s">
        <v>242</v>
      </c>
    </row>
    <row r="23" spans="1:10" x14ac:dyDescent="0.25">
      <c r="A23" s="4">
        <v>22</v>
      </c>
      <c r="B23" s="4" t="s">
        <v>37</v>
      </c>
      <c r="C23" s="4" t="s">
        <v>7</v>
      </c>
      <c r="D23" s="4">
        <v>25</v>
      </c>
      <c r="E23" s="4" t="s">
        <v>15</v>
      </c>
      <c r="F23" s="4">
        <v>8.5</v>
      </c>
      <c r="G23" s="4" t="s">
        <v>12</v>
      </c>
      <c r="H23" s="4" t="s">
        <v>24</v>
      </c>
      <c r="I23" s="4">
        <f t="shared" ca="1" si="0"/>
        <v>2021</v>
      </c>
      <c r="J23" s="7" t="s">
        <v>243</v>
      </c>
    </row>
    <row r="24" spans="1:10" x14ac:dyDescent="0.25">
      <c r="A24" s="4">
        <v>23</v>
      </c>
      <c r="B24" s="4" t="s">
        <v>38</v>
      </c>
      <c r="C24" s="4" t="s">
        <v>7</v>
      </c>
      <c r="D24" s="4">
        <v>33</v>
      </c>
      <c r="E24" s="4" t="s">
        <v>15</v>
      </c>
      <c r="F24" s="4">
        <v>4.2</v>
      </c>
      <c r="G24" s="4" t="s">
        <v>12</v>
      </c>
      <c r="H24" s="4" t="s">
        <v>24</v>
      </c>
      <c r="I24" s="4">
        <f t="shared" ca="1" si="0"/>
        <v>2024</v>
      </c>
      <c r="J24" s="7" t="s">
        <v>244</v>
      </c>
    </row>
    <row r="25" spans="1:10" x14ac:dyDescent="0.25">
      <c r="A25" s="4">
        <v>24</v>
      </c>
      <c r="B25" s="4" t="s">
        <v>39</v>
      </c>
      <c r="C25" s="4" t="s">
        <v>7</v>
      </c>
      <c r="D25" s="4">
        <v>18</v>
      </c>
      <c r="E25" s="4" t="s">
        <v>15</v>
      </c>
      <c r="F25" s="4">
        <v>6.9</v>
      </c>
      <c r="G25" s="4" t="s">
        <v>9</v>
      </c>
      <c r="H25" s="4" t="s">
        <v>19</v>
      </c>
      <c r="I25" s="4">
        <f t="shared" ca="1" si="0"/>
        <v>2025</v>
      </c>
      <c r="J25" s="7" t="s">
        <v>245</v>
      </c>
    </row>
    <row r="26" spans="1:10" x14ac:dyDescent="0.25">
      <c r="A26" s="4">
        <v>25</v>
      </c>
      <c r="B26" s="4" t="s">
        <v>40</v>
      </c>
      <c r="C26" s="4" t="s">
        <v>18</v>
      </c>
      <c r="D26" s="4">
        <v>40</v>
      </c>
      <c r="E26" s="4" t="s">
        <v>8</v>
      </c>
      <c r="F26" s="4">
        <v>1.5</v>
      </c>
      <c r="G26" s="4" t="s">
        <v>12</v>
      </c>
      <c r="H26" s="4" t="s">
        <v>19</v>
      </c>
      <c r="I26" s="4">
        <f t="shared" ca="1" si="0"/>
        <v>2020</v>
      </c>
      <c r="J26" s="7" t="s">
        <v>246</v>
      </c>
    </row>
    <row r="27" spans="1:10" x14ac:dyDescent="0.25">
      <c r="A27" s="4">
        <v>26</v>
      </c>
      <c r="B27" s="4" t="s">
        <v>41</v>
      </c>
      <c r="C27" s="4" t="s">
        <v>7</v>
      </c>
      <c r="D27" s="4">
        <v>29</v>
      </c>
      <c r="E27" s="4" t="s">
        <v>8</v>
      </c>
      <c r="F27" s="4">
        <v>9.6</v>
      </c>
      <c r="G27" s="4" t="s">
        <v>12</v>
      </c>
      <c r="H27" s="4" t="s">
        <v>10</v>
      </c>
      <c r="I27" s="4">
        <f t="shared" ca="1" si="0"/>
        <v>2020</v>
      </c>
      <c r="J27" s="7" t="s">
        <v>247</v>
      </c>
    </row>
    <row r="28" spans="1:10" x14ac:dyDescent="0.25">
      <c r="A28" s="4">
        <v>27</v>
      </c>
      <c r="B28" s="4" t="s">
        <v>42</v>
      </c>
      <c r="C28" s="4" t="s">
        <v>7</v>
      </c>
      <c r="D28" s="4">
        <v>33</v>
      </c>
      <c r="E28" s="4" t="s">
        <v>8</v>
      </c>
      <c r="F28" s="4">
        <v>8.6</v>
      </c>
      <c r="G28" s="4" t="s">
        <v>9</v>
      </c>
      <c r="H28" s="4" t="s">
        <v>19</v>
      </c>
      <c r="I28" s="4">
        <f t="shared" ca="1" si="0"/>
        <v>2025</v>
      </c>
      <c r="J28" s="7" t="s">
        <v>248</v>
      </c>
    </row>
    <row r="29" spans="1:10" x14ac:dyDescent="0.25">
      <c r="A29" s="4">
        <v>28</v>
      </c>
      <c r="B29" s="4" t="s">
        <v>43</v>
      </c>
      <c r="C29" s="4" t="s">
        <v>18</v>
      </c>
      <c r="D29" s="4">
        <v>22</v>
      </c>
      <c r="E29" s="4" t="s">
        <v>15</v>
      </c>
      <c r="F29" s="4">
        <v>6</v>
      </c>
      <c r="G29" s="4" t="s">
        <v>9</v>
      </c>
      <c r="H29" s="4" t="s">
        <v>10</v>
      </c>
      <c r="I29" s="4">
        <f t="shared" ca="1" si="0"/>
        <v>2020</v>
      </c>
      <c r="J29" s="7" t="s">
        <v>249</v>
      </c>
    </row>
    <row r="30" spans="1:10" x14ac:dyDescent="0.25">
      <c r="A30" s="4">
        <v>29</v>
      </c>
      <c r="B30" s="4" t="s">
        <v>44</v>
      </c>
      <c r="C30" s="4" t="s">
        <v>18</v>
      </c>
      <c r="D30" s="4">
        <v>28</v>
      </c>
      <c r="E30" s="4" t="s">
        <v>8</v>
      </c>
      <c r="F30" s="4">
        <v>1.8</v>
      </c>
      <c r="G30" s="4" t="s">
        <v>9</v>
      </c>
      <c r="H30" s="4" t="s">
        <v>10</v>
      </c>
      <c r="I30" s="4">
        <f t="shared" ca="1" si="0"/>
        <v>2025</v>
      </c>
      <c r="J30" s="7" t="s">
        <v>250</v>
      </c>
    </row>
    <row r="31" spans="1:10" x14ac:dyDescent="0.25">
      <c r="A31" s="4">
        <v>30</v>
      </c>
      <c r="B31" s="4" t="s">
        <v>45</v>
      </c>
      <c r="C31" s="4" t="s">
        <v>18</v>
      </c>
      <c r="D31" s="4">
        <v>22</v>
      </c>
      <c r="E31" s="4" t="s">
        <v>8</v>
      </c>
      <c r="F31" s="4">
        <v>3.3</v>
      </c>
      <c r="G31" s="4" t="s">
        <v>12</v>
      </c>
      <c r="H31" s="4" t="s">
        <v>10</v>
      </c>
      <c r="I31" s="4">
        <f t="shared" ca="1" si="0"/>
        <v>2025</v>
      </c>
      <c r="J31" s="7" t="s">
        <v>251</v>
      </c>
    </row>
    <row r="32" spans="1:10" x14ac:dyDescent="0.25">
      <c r="A32" s="4">
        <v>31</v>
      </c>
      <c r="B32" s="4" t="s">
        <v>46</v>
      </c>
      <c r="C32" s="4" t="s">
        <v>7</v>
      </c>
      <c r="D32" s="4">
        <v>30</v>
      </c>
      <c r="E32" s="4" t="s">
        <v>8</v>
      </c>
      <c r="F32" s="4">
        <v>6.4</v>
      </c>
      <c r="G32" s="4" t="s">
        <v>9</v>
      </c>
      <c r="H32" s="4" t="s">
        <v>24</v>
      </c>
      <c r="I32" s="4">
        <f t="shared" ca="1" si="0"/>
        <v>2025</v>
      </c>
      <c r="J32" s="7" t="s">
        <v>252</v>
      </c>
    </row>
    <row r="33" spans="1:10" x14ac:dyDescent="0.25">
      <c r="A33" s="4">
        <v>32</v>
      </c>
      <c r="B33" s="4" t="s">
        <v>47</v>
      </c>
      <c r="C33" s="4" t="s">
        <v>7</v>
      </c>
      <c r="D33" s="4">
        <v>28</v>
      </c>
      <c r="E33" s="4" t="s">
        <v>8</v>
      </c>
      <c r="F33" s="4">
        <v>7.1</v>
      </c>
      <c r="G33" s="4" t="s">
        <v>9</v>
      </c>
      <c r="H33" s="4" t="s">
        <v>19</v>
      </c>
      <c r="I33" s="4">
        <f t="shared" ca="1" si="0"/>
        <v>2025</v>
      </c>
      <c r="J33" s="7" t="s">
        <v>253</v>
      </c>
    </row>
    <row r="34" spans="1:10" x14ac:dyDescent="0.25">
      <c r="A34" s="4">
        <v>33</v>
      </c>
      <c r="B34" s="4" t="s">
        <v>48</v>
      </c>
      <c r="C34" s="4" t="s">
        <v>7</v>
      </c>
      <c r="D34" s="4">
        <v>23</v>
      </c>
      <c r="E34" s="4" t="s">
        <v>15</v>
      </c>
      <c r="F34" s="4">
        <v>1</v>
      </c>
      <c r="G34" s="4" t="s">
        <v>12</v>
      </c>
      <c r="H34" s="4" t="s">
        <v>24</v>
      </c>
      <c r="I34" s="4">
        <f t="shared" ca="1" si="0"/>
        <v>2025</v>
      </c>
      <c r="J34" s="7" t="s">
        <v>254</v>
      </c>
    </row>
    <row r="35" spans="1:10" x14ac:dyDescent="0.25">
      <c r="A35" s="4">
        <v>34</v>
      </c>
      <c r="B35" s="4" t="s">
        <v>49</v>
      </c>
      <c r="C35" s="4" t="s">
        <v>7</v>
      </c>
      <c r="D35" s="4">
        <v>23</v>
      </c>
      <c r="E35" s="4" t="s">
        <v>15</v>
      </c>
      <c r="F35" s="4">
        <v>4.8</v>
      </c>
      <c r="G35" s="4" t="s">
        <v>12</v>
      </c>
      <c r="H35" s="4" t="s">
        <v>19</v>
      </c>
      <c r="I35" s="4">
        <f t="shared" ca="1" si="0"/>
        <v>2022</v>
      </c>
      <c r="J35" s="7" t="s">
        <v>255</v>
      </c>
    </row>
    <row r="36" spans="1:10" x14ac:dyDescent="0.25">
      <c r="A36" s="4">
        <v>35</v>
      </c>
      <c r="B36" s="4" t="s">
        <v>50</v>
      </c>
      <c r="C36" s="4" t="s">
        <v>18</v>
      </c>
      <c r="D36" s="4">
        <v>27</v>
      </c>
      <c r="E36" s="4" t="s">
        <v>8</v>
      </c>
      <c r="F36" s="4">
        <v>4.5999999999999996</v>
      </c>
      <c r="G36" s="4" t="s">
        <v>12</v>
      </c>
      <c r="H36" s="4" t="s">
        <v>10</v>
      </c>
      <c r="I36" s="4">
        <f t="shared" ca="1" si="0"/>
        <v>2020</v>
      </c>
      <c r="J36" s="7" t="s">
        <v>256</v>
      </c>
    </row>
    <row r="37" spans="1:10" x14ac:dyDescent="0.25">
      <c r="A37" s="4">
        <v>36</v>
      </c>
      <c r="B37" s="4" t="s">
        <v>51</v>
      </c>
      <c r="C37" s="4" t="s">
        <v>7</v>
      </c>
      <c r="D37" s="4">
        <v>37</v>
      </c>
      <c r="E37" s="4" t="s">
        <v>15</v>
      </c>
      <c r="F37" s="4">
        <v>8.9</v>
      </c>
      <c r="G37" s="4" t="s">
        <v>9</v>
      </c>
      <c r="H37" s="4" t="s">
        <v>10</v>
      </c>
      <c r="I37" s="4">
        <f t="shared" ca="1" si="0"/>
        <v>2025</v>
      </c>
      <c r="J37" s="7" t="s">
        <v>257</v>
      </c>
    </row>
    <row r="38" spans="1:10" x14ac:dyDescent="0.25">
      <c r="A38" s="4">
        <v>37</v>
      </c>
      <c r="B38" s="4" t="s">
        <v>52</v>
      </c>
      <c r="C38" s="4" t="s">
        <v>7</v>
      </c>
      <c r="D38" s="4">
        <v>31</v>
      </c>
      <c r="E38" s="4" t="s">
        <v>15</v>
      </c>
      <c r="F38" s="4">
        <v>4.4000000000000004</v>
      </c>
      <c r="G38" s="4" t="s">
        <v>9</v>
      </c>
      <c r="H38" s="4" t="s">
        <v>24</v>
      </c>
      <c r="I38" s="4">
        <f t="shared" ca="1" si="0"/>
        <v>2023</v>
      </c>
      <c r="J38" s="7" t="s">
        <v>258</v>
      </c>
    </row>
    <row r="39" spans="1:10" x14ac:dyDescent="0.25">
      <c r="A39" s="4">
        <v>38</v>
      </c>
      <c r="B39" s="4" t="s">
        <v>28</v>
      </c>
      <c r="C39" s="4" t="s">
        <v>18</v>
      </c>
      <c r="D39" s="4">
        <v>38</v>
      </c>
      <c r="E39" s="4" t="s">
        <v>8</v>
      </c>
      <c r="F39" s="4">
        <v>5.7</v>
      </c>
      <c r="G39" s="4" t="s">
        <v>12</v>
      </c>
      <c r="H39" s="4" t="s">
        <v>21</v>
      </c>
      <c r="I39" s="4">
        <f t="shared" ca="1" si="0"/>
        <v>2021</v>
      </c>
      <c r="J39" s="7" t="s">
        <v>259</v>
      </c>
    </row>
    <row r="40" spans="1:10" x14ac:dyDescent="0.25">
      <c r="A40" s="4">
        <v>39</v>
      </c>
      <c r="B40" s="4" t="s">
        <v>53</v>
      </c>
      <c r="C40" s="4" t="s">
        <v>18</v>
      </c>
      <c r="D40" s="4">
        <v>28</v>
      </c>
      <c r="E40" s="4" t="s">
        <v>8</v>
      </c>
      <c r="F40" s="4">
        <v>3</v>
      </c>
      <c r="G40" s="4" t="s">
        <v>9</v>
      </c>
      <c r="H40" s="4" t="s">
        <v>10</v>
      </c>
      <c r="I40" s="4">
        <f t="shared" ca="1" si="0"/>
        <v>2025</v>
      </c>
      <c r="J40" s="7" t="s">
        <v>260</v>
      </c>
    </row>
    <row r="41" spans="1:10" x14ac:dyDescent="0.25">
      <c r="A41" s="4">
        <v>40</v>
      </c>
      <c r="B41" s="4" t="s">
        <v>54</v>
      </c>
      <c r="C41" s="4" t="s">
        <v>18</v>
      </c>
      <c r="D41" s="4">
        <v>39</v>
      </c>
      <c r="E41" s="4" t="s">
        <v>8</v>
      </c>
      <c r="F41" s="4">
        <v>7.7</v>
      </c>
      <c r="G41" s="4" t="s">
        <v>9</v>
      </c>
      <c r="H41" s="4" t="s">
        <v>21</v>
      </c>
      <c r="I41" s="4">
        <f t="shared" ca="1" si="0"/>
        <v>2025</v>
      </c>
      <c r="J41" s="7" t="s">
        <v>261</v>
      </c>
    </row>
    <row r="42" spans="1:10" x14ac:dyDescent="0.25">
      <c r="A42" s="4">
        <v>41</v>
      </c>
      <c r="B42" s="4" t="s">
        <v>55</v>
      </c>
      <c r="C42" s="4" t="s">
        <v>7</v>
      </c>
      <c r="D42" s="4">
        <v>18</v>
      </c>
      <c r="E42" s="4" t="s">
        <v>15</v>
      </c>
      <c r="F42" s="4">
        <v>8</v>
      </c>
      <c r="G42" s="4" t="s">
        <v>12</v>
      </c>
      <c r="H42" s="4" t="s">
        <v>24</v>
      </c>
      <c r="I42" s="4">
        <f t="shared" ca="1" si="0"/>
        <v>2023</v>
      </c>
      <c r="J42" s="7" t="s">
        <v>262</v>
      </c>
    </row>
    <row r="43" spans="1:10" x14ac:dyDescent="0.25">
      <c r="A43" s="4">
        <v>42</v>
      </c>
      <c r="B43" s="4" t="s">
        <v>56</v>
      </c>
      <c r="C43" s="4" t="s">
        <v>7</v>
      </c>
      <c r="D43" s="4">
        <v>25</v>
      </c>
      <c r="E43" s="4" t="s">
        <v>15</v>
      </c>
      <c r="F43" s="4">
        <v>4.2</v>
      </c>
      <c r="G43" s="4" t="s">
        <v>9</v>
      </c>
      <c r="H43" s="4" t="s">
        <v>21</v>
      </c>
      <c r="I43" s="4">
        <f t="shared" ca="1" si="0"/>
        <v>2023</v>
      </c>
      <c r="J43" s="7" t="s">
        <v>263</v>
      </c>
    </row>
    <row r="44" spans="1:10" x14ac:dyDescent="0.25">
      <c r="A44" s="4">
        <v>43</v>
      </c>
      <c r="B44" s="4" t="s">
        <v>57</v>
      </c>
      <c r="C44" s="4" t="s">
        <v>18</v>
      </c>
      <c r="D44" s="4">
        <v>27</v>
      </c>
      <c r="E44" s="4" t="s">
        <v>15</v>
      </c>
      <c r="F44" s="4">
        <v>4.5</v>
      </c>
      <c r="G44" s="4" t="s">
        <v>12</v>
      </c>
      <c r="H44" s="4" t="s">
        <v>24</v>
      </c>
      <c r="I44" s="4">
        <f t="shared" ca="1" si="0"/>
        <v>2020</v>
      </c>
      <c r="J44" s="7" t="s">
        <v>264</v>
      </c>
    </row>
    <row r="45" spans="1:10" x14ac:dyDescent="0.25">
      <c r="A45" s="4">
        <v>44</v>
      </c>
      <c r="B45" s="4" t="s">
        <v>35</v>
      </c>
      <c r="C45" s="4" t="s">
        <v>7</v>
      </c>
      <c r="D45" s="4">
        <v>20</v>
      </c>
      <c r="E45" s="4" t="s">
        <v>15</v>
      </c>
      <c r="F45" s="4">
        <v>2.2000000000000002</v>
      </c>
      <c r="G45" s="4" t="s">
        <v>9</v>
      </c>
      <c r="H45" s="4" t="s">
        <v>19</v>
      </c>
      <c r="I45" s="4">
        <f t="shared" ca="1" si="0"/>
        <v>2021</v>
      </c>
      <c r="J45" s="7" t="s">
        <v>265</v>
      </c>
    </row>
    <row r="46" spans="1:10" x14ac:dyDescent="0.25">
      <c r="A46" s="4">
        <v>45</v>
      </c>
      <c r="B46" s="4" t="s">
        <v>58</v>
      </c>
      <c r="C46" s="4" t="s">
        <v>7</v>
      </c>
      <c r="D46" s="4">
        <v>36</v>
      </c>
      <c r="E46" s="4" t="s">
        <v>15</v>
      </c>
      <c r="F46" s="4">
        <v>7.5</v>
      </c>
      <c r="G46" s="4" t="s">
        <v>12</v>
      </c>
      <c r="H46" s="4" t="s">
        <v>19</v>
      </c>
      <c r="I46" s="4">
        <f t="shared" ca="1" si="0"/>
        <v>2021</v>
      </c>
      <c r="J46" s="7" t="s">
        <v>266</v>
      </c>
    </row>
    <row r="47" spans="1:10" x14ac:dyDescent="0.25">
      <c r="A47" s="4">
        <v>46</v>
      </c>
      <c r="B47" s="4" t="s">
        <v>59</v>
      </c>
      <c r="C47" s="4" t="s">
        <v>7</v>
      </c>
      <c r="D47" s="4">
        <v>20</v>
      </c>
      <c r="E47" s="4" t="s">
        <v>15</v>
      </c>
      <c r="F47" s="4">
        <v>4</v>
      </c>
      <c r="G47" s="4" t="s">
        <v>12</v>
      </c>
      <c r="H47" s="4" t="s">
        <v>10</v>
      </c>
      <c r="I47" s="4">
        <f t="shared" ca="1" si="0"/>
        <v>2024</v>
      </c>
      <c r="J47" s="7" t="s">
        <v>267</v>
      </c>
    </row>
    <row r="48" spans="1:10" x14ac:dyDescent="0.25">
      <c r="A48" s="4">
        <v>47</v>
      </c>
      <c r="B48" s="4" t="s">
        <v>40</v>
      </c>
      <c r="C48" s="4" t="s">
        <v>18</v>
      </c>
      <c r="D48" s="4">
        <v>38</v>
      </c>
      <c r="E48" s="4" t="s">
        <v>15</v>
      </c>
      <c r="F48" s="4">
        <v>8</v>
      </c>
      <c r="G48" s="4" t="s">
        <v>12</v>
      </c>
      <c r="H48" s="4" t="s">
        <v>10</v>
      </c>
      <c r="I48" s="4">
        <f t="shared" ca="1" si="0"/>
        <v>2023</v>
      </c>
      <c r="J48" s="7" t="s">
        <v>268</v>
      </c>
    </row>
    <row r="49" spans="1:10" x14ac:dyDescent="0.25">
      <c r="A49" s="4">
        <v>48</v>
      </c>
      <c r="B49" s="4" t="s">
        <v>60</v>
      </c>
      <c r="C49" s="4" t="s">
        <v>18</v>
      </c>
      <c r="D49" s="4">
        <v>40</v>
      </c>
      <c r="E49" s="4" t="s">
        <v>15</v>
      </c>
      <c r="F49" s="4">
        <v>4.9000000000000004</v>
      </c>
      <c r="G49" s="4" t="s">
        <v>12</v>
      </c>
      <c r="H49" s="4" t="s">
        <v>21</v>
      </c>
      <c r="I49" s="4">
        <f t="shared" ca="1" si="0"/>
        <v>2024</v>
      </c>
      <c r="J49" s="7" t="s">
        <v>269</v>
      </c>
    </row>
    <row r="50" spans="1:10" x14ac:dyDescent="0.25">
      <c r="A50" s="4">
        <v>49</v>
      </c>
      <c r="B50" s="4" t="s">
        <v>61</v>
      </c>
      <c r="C50" s="4" t="s">
        <v>7</v>
      </c>
      <c r="D50" s="4">
        <v>22</v>
      </c>
      <c r="E50" s="4" t="s">
        <v>8</v>
      </c>
      <c r="F50" s="4">
        <v>8.4</v>
      </c>
      <c r="G50" s="4" t="s">
        <v>12</v>
      </c>
      <c r="H50" s="4" t="s">
        <v>21</v>
      </c>
      <c r="I50" s="4">
        <f t="shared" ca="1" si="0"/>
        <v>2023</v>
      </c>
      <c r="J50" s="7" t="s">
        <v>270</v>
      </c>
    </row>
    <row r="51" spans="1:10" x14ac:dyDescent="0.25">
      <c r="A51" s="4">
        <v>50</v>
      </c>
      <c r="B51" s="4" t="s">
        <v>62</v>
      </c>
      <c r="C51" s="4" t="s">
        <v>18</v>
      </c>
      <c r="D51" s="4">
        <v>24</v>
      </c>
      <c r="E51" s="4" t="s">
        <v>8</v>
      </c>
      <c r="F51" s="4">
        <v>3</v>
      </c>
      <c r="G51" s="4" t="s">
        <v>9</v>
      </c>
      <c r="H51" s="4" t="s">
        <v>24</v>
      </c>
      <c r="I51" s="4">
        <f t="shared" ca="1" si="0"/>
        <v>2021</v>
      </c>
      <c r="J51" s="7" t="s">
        <v>271</v>
      </c>
    </row>
    <row r="52" spans="1:10" x14ac:dyDescent="0.25">
      <c r="A52" s="4">
        <v>51</v>
      </c>
      <c r="B52" s="4" t="s">
        <v>63</v>
      </c>
      <c r="C52" s="4" t="s">
        <v>7</v>
      </c>
      <c r="D52" s="4">
        <v>29</v>
      </c>
      <c r="E52" s="4" t="s">
        <v>8</v>
      </c>
      <c r="F52" s="4">
        <v>0.8</v>
      </c>
      <c r="G52" s="4" t="s">
        <v>9</v>
      </c>
      <c r="H52" s="4" t="s">
        <v>21</v>
      </c>
      <c r="I52" s="4">
        <f t="shared" ca="1" si="0"/>
        <v>2021</v>
      </c>
      <c r="J52" s="7" t="s">
        <v>272</v>
      </c>
    </row>
    <row r="53" spans="1:10" x14ac:dyDescent="0.25">
      <c r="A53" s="4">
        <v>52</v>
      </c>
      <c r="B53" s="4" t="s">
        <v>64</v>
      </c>
      <c r="C53" s="4" t="s">
        <v>7</v>
      </c>
      <c r="D53" s="4">
        <v>27</v>
      </c>
      <c r="E53" s="4" t="s">
        <v>15</v>
      </c>
      <c r="F53" s="4">
        <v>3</v>
      </c>
      <c r="G53" s="4" t="s">
        <v>12</v>
      </c>
      <c r="H53" s="4" t="s">
        <v>10</v>
      </c>
      <c r="I53" s="4">
        <f t="shared" ca="1" si="0"/>
        <v>2024</v>
      </c>
      <c r="J53" s="7" t="s">
        <v>273</v>
      </c>
    </row>
    <row r="54" spans="1:10" x14ac:dyDescent="0.25">
      <c r="A54" s="4">
        <v>53</v>
      </c>
      <c r="B54" s="4" t="s">
        <v>65</v>
      </c>
      <c r="C54" s="4" t="s">
        <v>18</v>
      </c>
      <c r="D54" s="4">
        <v>24</v>
      </c>
      <c r="E54" s="4" t="s">
        <v>8</v>
      </c>
      <c r="F54" s="4">
        <v>3.5</v>
      </c>
      <c r="G54" s="4" t="s">
        <v>9</v>
      </c>
      <c r="H54" s="4" t="s">
        <v>21</v>
      </c>
      <c r="I54" s="4">
        <f t="shared" ca="1" si="0"/>
        <v>2023</v>
      </c>
      <c r="J54" s="7" t="s">
        <v>274</v>
      </c>
    </row>
    <row r="55" spans="1:10" x14ac:dyDescent="0.25">
      <c r="A55" s="4">
        <v>54</v>
      </c>
      <c r="B55" s="4" t="s">
        <v>66</v>
      </c>
      <c r="C55" s="4" t="s">
        <v>18</v>
      </c>
      <c r="D55" s="4">
        <v>34</v>
      </c>
      <c r="E55" s="4" t="s">
        <v>15</v>
      </c>
      <c r="F55" s="4">
        <v>5.4</v>
      </c>
      <c r="G55" s="4" t="s">
        <v>9</v>
      </c>
      <c r="H55" s="4" t="s">
        <v>19</v>
      </c>
      <c r="I55" s="4">
        <f t="shared" ca="1" si="0"/>
        <v>2023</v>
      </c>
      <c r="J55" s="7" t="s">
        <v>275</v>
      </c>
    </row>
    <row r="56" spans="1:10" x14ac:dyDescent="0.25">
      <c r="A56" s="4">
        <v>55</v>
      </c>
      <c r="B56" s="4" t="s">
        <v>67</v>
      </c>
      <c r="C56" s="4" t="s">
        <v>7</v>
      </c>
      <c r="D56" s="4">
        <v>21</v>
      </c>
      <c r="E56" s="4" t="s">
        <v>8</v>
      </c>
      <c r="F56" s="4">
        <v>3.8</v>
      </c>
      <c r="G56" s="4" t="s">
        <v>12</v>
      </c>
      <c r="H56" s="4" t="s">
        <v>19</v>
      </c>
      <c r="I56" s="4">
        <f t="shared" ca="1" si="0"/>
        <v>2021</v>
      </c>
      <c r="J56" s="7" t="s">
        <v>276</v>
      </c>
    </row>
    <row r="57" spans="1:10" x14ac:dyDescent="0.25">
      <c r="A57" s="4">
        <v>56</v>
      </c>
      <c r="B57" s="4" t="s">
        <v>68</v>
      </c>
      <c r="C57" s="4" t="s">
        <v>7</v>
      </c>
      <c r="D57" s="4">
        <v>21</v>
      </c>
      <c r="E57" s="4" t="s">
        <v>8</v>
      </c>
      <c r="F57" s="4">
        <v>8.6999999999999993</v>
      </c>
      <c r="G57" s="4" t="s">
        <v>9</v>
      </c>
      <c r="H57" s="4" t="s">
        <v>19</v>
      </c>
      <c r="I57" s="4">
        <f t="shared" ca="1" si="0"/>
        <v>2025</v>
      </c>
      <c r="J57" s="7" t="s">
        <v>277</v>
      </c>
    </row>
    <row r="58" spans="1:10" x14ac:dyDescent="0.25">
      <c r="A58" s="4">
        <v>57</v>
      </c>
      <c r="B58" s="4" t="s">
        <v>69</v>
      </c>
      <c r="C58" s="4" t="s">
        <v>18</v>
      </c>
      <c r="D58" s="4">
        <v>27</v>
      </c>
      <c r="E58" s="4" t="s">
        <v>8</v>
      </c>
      <c r="F58" s="4">
        <v>9.1999999999999993</v>
      </c>
      <c r="G58" s="4" t="s">
        <v>12</v>
      </c>
      <c r="H58" s="4" t="s">
        <v>19</v>
      </c>
      <c r="I58" s="4">
        <f t="shared" ca="1" si="0"/>
        <v>2020</v>
      </c>
      <c r="J58" s="7" t="s">
        <v>278</v>
      </c>
    </row>
    <row r="59" spans="1:10" x14ac:dyDescent="0.25">
      <c r="A59" s="4">
        <v>58</v>
      </c>
      <c r="B59" s="4" t="s">
        <v>70</v>
      </c>
      <c r="C59" s="4" t="s">
        <v>7</v>
      </c>
      <c r="D59" s="4">
        <v>30</v>
      </c>
      <c r="E59" s="4" t="s">
        <v>8</v>
      </c>
      <c r="F59" s="4">
        <v>8.3000000000000007</v>
      </c>
      <c r="G59" s="4" t="s">
        <v>9</v>
      </c>
      <c r="H59" s="4" t="s">
        <v>19</v>
      </c>
      <c r="I59" s="4">
        <f t="shared" ca="1" si="0"/>
        <v>2021</v>
      </c>
      <c r="J59" s="7" t="s">
        <v>279</v>
      </c>
    </row>
    <row r="60" spans="1:10" x14ac:dyDescent="0.25">
      <c r="A60" s="4">
        <v>59</v>
      </c>
      <c r="B60" s="4" t="s">
        <v>71</v>
      </c>
      <c r="C60" s="4" t="s">
        <v>7</v>
      </c>
      <c r="D60" s="4">
        <v>38</v>
      </c>
      <c r="E60" s="4" t="s">
        <v>8</v>
      </c>
      <c r="F60" s="4">
        <v>4</v>
      </c>
      <c r="G60" s="4" t="s">
        <v>12</v>
      </c>
      <c r="H60" s="4" t="s">
        <v>19</v>
      </c>
      <c r="I60" s="4">
        <f t="shared" ca="1" si="0"/>
        <v>2024</v>
      </c>
      <c r="J60" s="7" t="s">
        <v>280</v>
      </c>
    </row>
    <row r="61" spans="1:10" x14ac:dyDescent="0.25">
      <c r="A61" s="4">
        <v>60</v>
      </c>
      <c r="B61" s="4" t="s">
        <v>72</v>
      </c>
      <c r="C61" s="4" t="s">
        <v>18</v>
      </c>
      <c r="D61" s="4">
        <v>39</v>
      </c>
      <c r="E61" s="4" t="s">
        <v>15</v>
      </c>
      <c r="F61" s="4">
        <v>4.0999999999999996</v>
      </c>
      <c r="G61" s="4" t="s">
        <v>12</v>
      </c>
      <c r="H61" s="4" t="s">
        <v>19</v>
      </c>
      <c r="I61" s="4">
        <f t="shared" ca="1" si="0"/>
        <v>2025</v>
      </c>
      <c r="J61" s="7" t="s">
        <v>281</v>
      </c>
    </row>
    <row r="62" spans="1:10" x14ac:dyDescent="0.25">
      <c r="A62" s="4">
        <v>61</v>
      </c>
      <c r="B62" s="4" t="s">
        <v>73</v>
      </c>
      <c r="C62" s="4" t="s">
        <v>7</v>
      </c>
      <c r="D62" s="4">
        <v>29</v>
      </c>
      <c r="E62" s="4" t="s">
        <v>8</v>
      </c>
      <c r="F62" s="4">
        <v>2.1</v>
      </c>
      <c r="G62" s="4" t="s">
        <v>12</v>
      </c>
      <c r="H62" s="4" t="s">
        <v>24</v>
      </c>
      <c r="I62" s="4">
        <f t="shared" ca="1" si="0"/>
        <v>2024</v>
      </c>
      <c r="J62" s="7" t="s">
        <v>282</v>
      </c>
    </row>
    <row r="63" spans="1:10" x14ac:dyDescent="0.25">
      <c r="A63" s="4">
        <v>62</v>
      </c>
      <c r="B63" s="4" t="s">
        <v>74</v>
      </c>
      <c r="C63" s="4" t="s">
        <v>18</v>
      </c>
      <c r="D63" s="4">
        <v>34</v>
      </c>
      <c r="E63" s="4" t="s">
        <v>15</v>
      </c>
      <c r="F63" s="4">
        <v>1.3</v>
      </c>
      <c r="G63" s="4" t="s">
        <v>9</v>
      </c>
      <c r="H63" s="4" t="s">
        <v>19</v>
      </c>
      <c r="I63" s="4">
        <f t="shared" ca="1" si="0"/>
        <v>2021</v>
      </c>
      <c r="J63" s="7" t="s">
        <v>283</v>
      </c>
    </row>
    <row r="64" spans="1:10" x14ac:dyDescent="0.25">
      <c r="A64" s="4">
        <v>63</v>
      </c>
      <c r="B64" s="4" t="s">
        <v>75</v>
      </c>
      <c r="C64" s="4" t="s">
        <v>7</v>
      </c>
      <c r="D64" s="4">
        <v>34</v>
      </c>
      <c r="E64" s="4" t="s">
        <v>15</v>
      </c>
      <c r="F64" s="4">
        <v>4.4000000000000004</v>
      </c>
      <c r="G64" s="4" t="s">
        <v>9</v>
      </c>
      <c r="H64" s="4" t="s">
        <v>19</v>
      </c>
      <c r="I64" s="4">
        <f t="shared" ca="1" si="0"/>
        <v>2022</v>
      </c>
      <c r="J64" s="7" t="s">
        <v>284</v>
      </c>
    </row>
    <row r="65" spans="1:10" x14ac:dyDescent="0.25">
      <c r="A65" s="4">
        <v>64</v>
      </c>
      <c r="B65" s="4" t="s">
        <v>76</v>
      </c>
      <c r="C65" s="4" t="s">
        <v>7</v>
      </c>
      <c r="D65" s="4">
        <v>22</v>
      </c>
      <c r="E65" s="4" t="s">
        <v>8</v>
      </c>
      <c r="F65" s="4">
        <v>9.5</v>
      </c>
      <c r="G65" s="4" t="s">
        <v>9</v>
      </c>
      <c r="H65" s="4" t="s">
        <v>10</v>
      </c>
      <c r="I65" s="4">
        <f t="shared" ca="1" si="0"/>
        <v>2024</v>
      </c>
      <c r="J65" s="7" t="s">
        <v>285</v>
      </c>
    </row>
    <row r="66" spans="1:10" x14ac:dyDescent="0.25">
      <c r="A66" s="4">
        <v>65</v>
      </c>
      <c r="B66" s="4" t="s">
        <v>77</v>
      </c>
      <c r="C66" s="4" t="s">
        <v>7</v>
      </c>
      <c r="D66" s="4">
        <v>37</v>
      </c>
      <c r="E66" s="4" t="s">
        <v>8</v>
      </c>
      <c r="F66" s="4">
        <v>1.9</v>
      </c>
      <c r="G66" s="4" t="s">
        <v>12</v>
      </c>
      <c r="H66" s="4" t="s">
        <v>21</v>
      </c>
      <c r="I66" s="4">
        <f t="shared" ca="1" si="0"/>
        <v>2024</v>
      </c>
      <c r="J66" s="7" t="s">
        <v>286</v>
      </c>
    </row>
    <row r="67" spans="1:10" x14ac:dyDescent="0.25">
      <c r="A67" s="4">
        <v>66</v>
      </c>
      <c r="B67" s="4" t="s">
        <v>78</v>
      </c>
      <c r="C67" s="4" t="s">
        <v>7</v>
      </c>
      <c r="D67" s="4">
        <v>25</v>
      </c>
      <c r="E67" s="4" t="s">
        <v>8</v>
      </c>
      <c r="F67" s="4">
        <v>3</v>
      </c>
      <c r="G67" s="4" t="s">
        <v>9</v>
      </c>
      <c r="H67" s="4" t="s">
        <v>10</v>
      </c>
      <c r="I67" s="4">
        <f t="shared" ref="I67:I130" ca="1" si="1">RANDBETWEEN(2020,2025)</f>
        <v>2021</v>
      </c>
      <c r="J67" s="7" t="s">
        <v>287</v>
      </c>
    </row>
    <row r="68" spans="1:10" x14ac:dyDescent="0.25">
      <c r="A68" s="4">
        <v>67</v>
      </c>
      <c r="B68" s="4" t="s">
        <v>79</v>
      </c>
      <c r="C68" s="4" t="s">
        <v>7</v>
      </c>
      <c r="D68" s="4">
        <v>29</v>
      </c>
      <c r="E68" s="4" t="s">
        <v>15</v>
      </c>
      <c r="F68" s="4">
        <v>0.7</v>
      </c>
      <c r="G68" s="4" t="s">
        <v>12</v>
      </c>
      <c r="H68" s="4" t="s">
        <v>19</v>
      </c>
      <c r="I68" s="4">
        <f t="shared" ca="1" si="1"/>
        <v>2021</v>
      </c>
      <c r="J68" s="7" t="s">
        <v>288</v>
      </c>
    </row>
    <row r="69" spans="1:10" x14ac:dyDescent="0.25">
      <c r="A69" s="4">
        <v>68</v>
      </c>
      <c r="B69" s="4" t="s">
        <v>80</v>
      </c>
      <c r="C69" s="4" t="s">
        <v>7</v>
      </c>
      <c r="D69" s="4">
        <v>18</v>
      </c>
      <c r="E69" s="4" t="s">
        <v>8</v>
      </c>
      <c r="F69" s="4">
        <v>4.5999999999999996</v>
      </c>
      <c r="G69" s="4" t="s">
        <v>12</v>
      </c>
      <c r="H69" s="4" t="s">
        <v>19</v>
      </c>
      <c r="I69" s="4">
        <f t="shared" ca="1" si="1"/>
        <v>2020</v>
      </c>
      <c r="J69" s="7" t="s">
        <v>289</v>
      </c>
    </row>
    <row r="70" spans="1:10" x14ac:dyDescent="0.25">
      <c r="A70" s="4">
        <v>69</v>
      </c>
      <c r="B70" s="4" t="s">
        <v>66</v>
      </c>
      <c r="C70" s="4" t="s">
        <v>18</v>
      </c>
      <c r="D70" s="4">
        <v>31</v>
      </c>
      <c r="E70" s="4" t="s">
        <v>8</v>
      </c>
      <c r="F70" s="4">
        <v>2.2999999999999998</v>
      </c>
      <c r="G70" s="4" t="s">
        <v>12</v>
      </c>
      <c r="H70" s="4" t="s">
        <v>24</v>
      </c>
      <c r="I70" s="4">
        <f t="shared" ca="1" si="1"/>
        <v>2024</v>
      </c>
      <c r="J70" s="7" t="s">
        <v>290</v>
      </c>
    </row>
    <row r="71" spans="1:10" x14ac:dyDescent="0.25">
      <c r="A71" s="4">
        <v>70</v>
      </c>
      <c r="B71" s="4" t="s">
        <v>81</v>
      </c>
      <c r="C71" s="4" t="s">
        <v>7</v>
      </c>
      <c r="D71" s="4">
        <v>19</v>
      </c>
      <c r="E71" s="4" t="s">
        <v>8</v>
      </c>
      <c r="F71" s="4">
        <v>4.0999999999999996</v>
      </c>
      <c r="G71" s="4" t="s">
        <v>9</v>
      </c>
      <c r="H71" s="4" t="s">
        <v>19</v>
      </c>
      <c r="I71" s="4">
        <f t="shared" ca="1" si="1"/>
        <v>2021</v>
      </c>
      <c r="J71" s="7" t="s">
        <v>291</v>
      </c>
    </row>
    <row r="72" spans="1:10" x14ac:dyDescent="0.25">
      <c r="A72" s="4">
        <v>71</v>
      </c>
      <c r="B72" s="4" t="s">
        <v>82</v>
      </c>
      <c r="C72" s="4" t="s">
        <v>7</v>
      </c>
      <c r="D72" s="4">
        <v>35</v>
      </c>
      <c r="E72" s="4" t="s">
        <v>15</v>
      </c>
      <c r="F72" s="4">
        <v>6</v>
      </c>
      <c r="G72" s="4" t="s">
        <v>12</v>
      </c>
      <c r="H72" s="4" t="s">
        <v>19</v>
      </c>
      <c r="I72" s="4">
        <f t="shared" ca="1" si="1"/>
        <v>2020</v>
      </c>
      <c r="J72" s="7" t="s">
        <v>292</v>
      </c>
    </row>
    <row r="73" spans="1:10" x14ac:dyDescent="0.25">
      <c r="A73" s="4">
        <v>72</v>
      </c>
      <c r="B73" s="4" t="s">
        <v>20</v>
      </c>
      <c r="C73" s="4" t="s">
        <v>7</v>
      </c>
      <c r="D73" s="4">
        <v>37</v>
      </c>
      <c r="E73" s="4" t="s">
        <v>8</v>
      </c>
      <c r="F73" s="4">
        <v>1.9</v>
      </c>
      <c r="G73" s="4" t="s">
        <v>9</v>
      </c>
      <c r="H73" s="4" t="s">
        <v>10</v>
      </c>
      <c r="I73" s="4">
        <f t="shared" ca="1" si="1"/>
        <v>2020</v>
      </c>
      <c r="J73" s="7" t="s">
        <v>293</v>
      </c>
    </row>
    <row r="74" spans="1:10" x14ac:dyDescent="0.25">
      <c r="A74" s="4">
        <v>73</v>
      </c>
      <c r="B74" s="4" t="s">
        <v>72</v>
      </c>
      <c r="C74" s="4" t="s">
        <v>18</v>
      </c>
      <c r="D74" s="4">
        <v>21</v>
      </c>
      <c r="E74" s="4" t="s">
        <v>15</v>
      </c>
      <c r="F74" s="4">
        <v>0.6</v>
      </c>
      <c r="G74" s="4" t="s">
        <v>9</v>
      </c>
      <c r="H74" s="4" t="s">
        <v>19</v>
      </c>
      <c r="I74" s="4">
        <f t="shared" ca="1" si="1"/>
        <v>2020</v>
      </c>
      <c r="J74" s="7" t="s">
        <v>294</v>
      </c>
    </row>
    <row r="75" spans="1:10" x14ac:dyDescent="0.25">
      <c r="A75" s="4">
        <v>74</v>
      </c>
      <c r="B75" s="4" t="s">
        <v>83</v>
      </c>
      <c r="C75" s="4" t="s">
        <v>7</v>
      </c>
      <c r="D75" s="4">
        <v>23</v>
      </c>
      <c r="E75" s="4" t="s">
        <v>8</v>
      </c>
      <c r="F75" s="4">
        <v>9.1999999999999993</v>
      </c>
      <c r="G75" s="4" t="s">
        <v>12</v>
      </c>
      <c r="H75" s="4" t="s">
        <v>24</v>
      </c>
      <c r="I75" s="4">
        <f t="shared" ca="1" si="1"/>
        <v>2025</v>
      </c>
      <c r="J75" s="7" t="s">
        <v>295</v>
      </c>
    </row>
    <row r="76" spans="1:10" x14ac:dyDescent="0.25">
      <c r="A76" s="4">
        <v>75</v>
      </c>
      <c r="B76" s="4" t="s">
        <v>84</v>
      </c>
      <c r="C76" s="4" t="s">
        <v>18</v>
      </c>
      <c r="D76" s="4">
        <v>35</v>
      </c>
      <c r="E76" s="4" t="s">
        <v>8</v>
      </c>
      <c r="F76" s="4">
        <v>4.3</v>
      </c>
      <c r="G76" s="4" t="s">
        <v>9</v>
      </c>
      <c r="H76" s="4" t="s">
        <v>24</v>
      </c>
      <c r="I76" s="4">
        <f t="shared" ca="1" si="1"/>
        <v>2020</v>
      </c>
      <c r="J76" s="7" t="s">
        <v>296</v>
      </c>
    </row>
    <row r="77" spans="1:10" x14ac:dyDescent="0.25">
      <c r="A77" s="4">
        <v>76</v>
      </c>
      <c r="B77" s="4" t="s">
        <v>85</v>
      </c>
      <c r="C77" s="4" t="s">
        <v>7</v>
      </c>
      <c r="D77" s="4">
        <v>27</v>
      </c>
      <c r="E77" s="4" t="s">
        <v>8</v>
      </c>
      <c r="F77" s="4">
        <v>4</v>
      </c>
      <c r="G77" s="4" t="s">
        <v>9</v>
      </c>
      <c r="H77" s="4" t="s">
        <v>10</v>
      </c>
      <c r="I77" s="4">
        <f t="shared" ca="1" si="1"/>
        <v>2025</v>
      </c>
      <c r="J77" s="7" t="s">
        <v>297</v>
      </c>
    </row>
    <row r="78" spans="1:10" x14ac:dyDescent="0.25">
      <c r="A78" s="4">
        <v>77</v>
      </c>
      <c r="B78" s="4" t="s">
        <v>86</v>
      </c>
      <c r="C78" s="4" t="s">
        <v>18</v>
      </c>
      <c r="D78" s="4">
        <v>29</v>
      </c>
      <c r="E78" s="4" t="s">
        <v>15</v>
      </c>
      <c r="F78" s="4">
        <v>8.1999999999999993</v>
      </c>
      <c r="G78" s="4" t="s">
        <v>12</v>
      </c>
      <c r="H78" s="4" t="s">
        <v>10</v>
      </c>
      <c r="I78" s="4">
        <f t="shared" ca="1" si="1"/>
        <v>2025</v>
      </c>
      <c r="J78" s="7" t="s">
        <v>298</v>
      </c>
    </row>
    <row r="79" spans="1:10" x14ac:dyDescent="0.25">
      <c r="A79" s="4">
        <v>78</v>
      </c>
      <c r="B79" s="4" t="s">
        <v>87</v>
      </c>
      <c r="C79" s="4" t="s">
        <v>7</v>
      </c>
      <c r="D79" s="4">
        <v>24</v>
      </c>
      <c r="E79" s="4" t="s">
        <v>8</v>
      </c>
      <c r="F79" s="4">
        <v>4.8</v>
      </c>
      <c r="G79" s="4" t="s">
        <v>9</v>
      </c>
      <c r="H79" s="4" t="s">
        <v>21</v>
      </c>
      <c r="I79" s="4">
        <f t="shared" ca="1" si="1"/>
        <v>2020</v>
      </c>
      <c r="J79" s="7" t="s">
        <v>299</v>
      </c>
    </row>
    <row r="80" spans="1:10" x14ac:dyDescent="0.25">
      <c r="A80" s="4">
        <v>79</v>
      </c>
      <c r="B80" s="4" t="s">
        <v>88</v>
      </c>
      <c r="C80" s="4" t="s">
        <v>7</v>
      </c>
      <c r="D80" s="4">
        <v>22</v>
      </c>
      <c r="E80" s="4" t="s">
        <v>8</v>
      </c>
      <c r="F80" s="4">
        <v>3.8</v>
      </c>
      <c r="G80" s="4" t="s">
        <v>9</v>
      </c>
      <c r="H80" s="4" t="s">
        <v>10</v>
      </c>
      <c r="I80" s="4">
        <f t="shared" ca="1" si="1"/>
        <v>2024</v>
      </c>
      <c r="J80" s="7" t="s">
        <v>300</v>
      </c>
    </row>
    <row r="81" spans="1:10" x14ac:dyDescent="0.25">
      <c r="A81" s="4">
        <v>80</v>
      </c>
      <c r="B81" s="4" t="s">
        <v>89</v>
      </c>
      <c r="C81" s="4" t="s">
        <v>7</v>
      </c>
      <c r="D81" s="4">
        <v>34</v>
      </c>
      <c r="E81" s="4" t="s">
        <v>15</v>
      </c>
      <c r="F81" s="4">
        <v>2</v>
      </c>
      <c r="G81" s="4" t="s">
        <v>12</v>
      </c>
      <c r="H81" s="4" t="s">
        <v>19</v>
      </c>
      <c r="I81" s="4">
        <f t="shared" ca="1" si="1"/>
        <v>2024</v>
      </c>
      <c r="J81" s="7" t="s">
        <v>301</v>
      </c>
    </row>
    <row r="82" spans="1:10" x14ac:dyDescent="0.25">
      <c r="A82" s="4">
        <v>81</v>
      </c>
      <c r="B82" s="4" t="s">
        <v>90</v>
      </c>
      <c r="C82" s="4" t="s">
        <v>7</v>
      </c>
      <c r="D82" s="4">
        <v>32</v>
      </c>
      <c r="E82" s="4" t="s">
        <v>8</v>
      </c>
      <c r="F82" s="4">
        <v>1.9</v>
      </c>
      <c r="G82" s="4" t="s">
        <v>12</v>
      </c>
      <c r="H82" s="4" t="s">
        <v>24</v>
      </c>
      <c r="I82" s="4">
        <f t="shared" ca="1" si="1"/>
        <v>2022</v>
      </c>
      <c r="J82" s="7" t="s">
        <v>302</v>
      </c>
    </row>
    <row r="83" spans="1:10" x14ac:dyDescent="0.25">
      <c r="A83" s="4">
        <v>82</v>
      </c>
      <c r="B83" s="4" t="s">
        <v>91</v>
      </c>
      <c r="C83" s="4" t="s">
        <v>7</v>
      </c>
      <c r="D83" s="4">
        <v>35</v>
      </c>
      <c r="E83" s="4" t="s">
        <v>15</v>
      </c>
      <c r="F83" s="4">
        <v>7.9</v>
      </c>
      <c r="G83" s="4" t="s">
        <v>9</v>
      </c>
      <c r="H83" s="4" t="s">
        <v>24</v>
      </c>
      <c r="I83" s="4">
        <f t="shared" ca="1" si="1"/>
        <v>2024</v>
      </c>
      <c r="J83" s="7" t="s">
        <v>303</v>
      </c>
    </row>
    <row r="84" spans="1:10" x14ac:dyDescent="0.25">
      <c r="A84" s="4">
        <v>83</v>
      </c>
      <c r="B84" s="4" t="s">
        <v>92</v>
      </c>
      <c r="C84" s="4" t="s">
        <v>18</v>
      </c>
      <c r="D84" s="4">
        <v>34</v>
      </c>
      <c r="E84" s="4" t="s">
        <v>8</v>
      </c>
      <c r="F84" s="4">
        <v>5.2</v>
      </c>
      <c r="G84" s="4" t="s">
        <v>12</v>
      </c>
      <c r="H84" s="4" t="s">
        <v>21</v>
      </c>
      <c r="I84" s="4">
        <f t="shared" ca="1" si="1"/>
        <v>2024</v>
      </c>
      <c r="J84" s="7" t="s">
        <v>304</v>
      </c>
    </row>
    <row r="85" spans="1:10" x14ac:dyDescent="0.25">
      <c r="A85" s="4">
        <v>84</v>
      </c>
      <c r="B85" s="4" t="s">
        <v>93</v>
      </c>
      <c r="C85" s="4" t="s">
        <v>18</v>
      </c>
      <c r="D85" s="4">
        <v>29</v>
      </c>
      <c r="E85" s="4" t="s">
        <v>15</v>
      </c>
      <c r="F85" s="4">
        <v>2.8</v>
      </c>
      <c r="G85" s="4" t="s">
        <v>12</v>
      </c>
      <c r="H85" s="4" t="s">
        <v>10</v>
      </c>
      <c r="I85" s="4">
        <f t="shared" ca="1" si="1"/>
        <v>2022</v>
      </c>
      <c r="J85" s="7" t="s">
        <v>305</v>
      </c>
    </row>
    <row r="86" spans="1:10" x14ac:dyDescent="0.25">
      <c r="A86" s="4">
        <v>85</v>
      </c>
      <c r="B86" s="4" t="s">
        <v>94</v>
      </c>
      <c r="C86" s="4" t="s">
        <v>7</v>
      </c>
      <c r="D86" s="4">
        <v>25</v>
      </c>
      <c r="E86" s="4" t="s">
        <v>8</v>
      </c>
      <c r="F86" s="4">
        <v>8.1</v>
      </c>
      <c r="G86" s="4" t="s">
        <v>9</v>
      </c>
      <c r="H86" s="4" t="s">
        <v>10</v>
      </c>
      <c r="I86" s="4">
        <f t="shared" ca="1" si="1"/>
        <v>2024</v>
      </c>
      <c r="J86" s="7" t="s">
        <v>306</v>
      </c>
    </row>
    <row r="87" spans="1:10" x14ac:dyDescent="0.25">
      <c r="A87" s="4">
        <v>86</v>
      </c>
      <c r="B87" s="4" t="s">
        <v>95</v>
      </c>
      <c r="C87" s="4" t="s">
        <v>7</v>
      </c>
      <c r="D87" s="4">
        <v>18</v>
      </c>
      <c r="E87" s="4" t="s">
        <v>15</v>
      </c>
      <c r="F87" s="4">
        <v>4.5</v>
      </c>
      <c r="G87" s="4" t="s">
        <v>12</v>
      </c>
      <c r="H87" s="4" t="s">
        <v>21</v>
      </c>
      <c r="I87" s="4">
        <f t="shared" ca="1" si="1"/>
        <v>2024</v>
      </c>
      <c r="J87" s="7" t="s">
        <v>307</v>
      </c>
    </row>
    <row r="88" spans="1:10" x14ac:dyDescent="0.25">
      <c r="A88" s="4">
        <v>87</v>
      </c>
      <c r="B88" s="4" t="s">
        <v>54</v>
      </c>
      <c r="C88" s="4" t="s">
        <v>18</v>
      </c>
      <c r="D88" s="4">
        <v>31</v>
      </c>
      <c r="E88" s="4" t="s">
        <v>15</v>
      </c>
      <c r="F88" s="4">
        <v>0.6</v>
      </c>
      <c r="G88" s="4" t="s">
        <v>9</v>
      </c>
      <c r="H88" s="4" t="s">
        <v>24</v>
      </c>
      <c r="I88" s="4">
        <f t="shared" ca="1" si="1"/>
        <v>2022</v>
      </c>
      <c r="J88" s="7" t="s">
        <v>308</v>
      </c>
    </row>
    <row r="89" spans="1:10" x14ac:dyDescent="0.25">
      <c r="A89" s="4">
        <v>88</v>
      </c>
      <c r="B89" s="4" t="s">
        <v>96</v>
      </c>
      <c r="C89" s="4" t="s">
        <v>7</v>
      </c>
      <c r="D89" s="4">
        <v>21</v>
      </c>
      <c r="E89" s="4" t="s">
        <v>15</v>
      </c>
      <c r="F89" s="4">
        <v>1.9</v>
      </c>
      <c r="G89" s="4" t="s">
        <v>12</v>
      </c>
      <c r="H89" s="4" t="s">
        <v>21</v>
      </c>
      <c r="I89" s="4">
        <f t="shared" ca="1" si="1"/>
        <v>2024</v>
      </c>
      <c r="J89" s="7" t="s">
        <v>309</v>
      </c>
    </row>
    <row r="90" spans="1:10" x14ac:dyDescent="0.25">
      <c r="A90" s="4">
        <v>89</v>
      </c>
      <c r="B90" s="4" t="s">
        <v>97</v>
      </c>
      <c r="C90" s="4" t="s">
        <v>18</v>
      </c>
      <c r="D90" s="4">
        <v>24</v>
      </c>
      <c r="E90" s="4" t="s">
        <v>8</v>
      </c>
      <c r="F90" s="4">
        <v>9.5</v>
      </c>
      <c r="G90" s="4" t="s">
        <v>12</v>
      </c>
      <c r="H90" s="4" t="s">
        <v>21</v>
      </c>
      <c r="I90" s="4">
        <f t="shared" ca="1" si="1"/>
        <v>2020</v>
      </c>
      <c r="J90" s="7" t="s">
        <v>310</v>
      </c>
    </row>
    <row r="91" spans="1:10" x14ac:dyDescent="0.25">
      <c r="A91" s="4">
        <v>90</v>
      </c>
      <c r="B91" s="4" t="s">
        <v>98</v>
      </c>
      <c r="C91" s="4" t="s">
        <v>18</v>
      </c>
      <c r="D91" s="4">
        <v>28</v>
      </c>
      <c r="E91" s="4" t="s">
        <v>8</v>
      </c>
      <c r="F91" s="4">
        <v>9.9</v>
      </c>
      <c r="G91" s="4" t="s">
        <v>9</v>
      </c>
      <c r="H91" s="4" t="s">
        <v>10</v>
      </c>
      <c r="I91" s="4">
        <f t="shared" ca="1" si="1"/>
        <v>2022</v>
      </c>
      <c r="J91" s="7" t="s">
        <v>311</v>
      </c>
    </row>
    <row r="92" spans="1:10" x14ac:dyDescent="0.25">
      <c r="A92" s="4">
        <v>91</v>
      </c>
      <c r="B92" s="4" t="s">
        <v>99</v>
      </c>
      <c r="C92" s="4" t="s">
        <v>7</v>
      </c>
      <c r="D92" s="4">
        <v>22</v>
      </c>
      <c r="E92" s="4" t="s">
        <v>15</v>
      </c>
      <c r="F92" s="4">
        <v>5.4</v>
      </c>
      <c r="G92" s="4" t="s">
        <v>9</v>
      </c>
      <c r="H92" s="4" t="s">
        <v>10</v>
      </c>
      <c r="I92" s="4">
        <f t="shared" ca="1" si="1"/>
        <v>2023</v>
      </c>
      <c r="J92" s="7" t="s">
        <v>312</v>
      </c>
    </row>
    <row r="93" spans="1:10" x14ac:dyDescent="0.25">
      <c r="A93" s="4">
        <v>92</v>
      </c>
      <c r="B93" s="4" t="s">
        <v>100</v>
      </c>
      <c r="C93" s="4" t="s">
        <v>7</v>
      </c>
      <c r="D93" s="4">
        <v>23</v>
      </c>
      <c r="E93" s="4" t="s">
        <v>15</v>
      </c>
      <c r="F93" s="4">
        <v>1.7</v>
      </c>
      <c r="G93" s="4" t="s">
        <v>9</v>
      </c>
      <c r="H93" s="4" t="s">
        <v>24</v>
      </c>
      <c r="I93" s="4">
        <f t="shared" ca="1" si="1"/>
        <v>2023</v>
      </c>
      <c r="J93" s="7" t="s">
        <v>313</v>
      </c>
    </row>
    <row r="94" spans="1:10" x14ac:dyDescent="0.25">
      <c r="A94" s="4">
        <v>93</v>
      </c>
      <c r="B94" s="4" t="s">
        <v>101</v>
      </c>
      <c r="C94" s="4" t="s">
        <v>7</v>
      </c>
      <c r="D94" s="4">
        <v>33</v>
      </c>
      <c r="E94" s="4" t="s">
        <v>15</v>
      </c>
      <c r="F94" s="4">
        <v>9.1</v>
      </c>
      <c r="G94" s="4" t="s">
        <v>12</v>
      </c>
      <c r="H94" s="4" t="s">
        <v>21</v>
      </c>
      <c r="I94" s="4">
        <f t="shared" ca="1" si="1"/>
        <v>2020</v>
      </c>
      <c r="J94" s="7" t="s">
        <v>314</v>
      </c>
    </row>
    <row r="95" spans="1:10" x14ac:dyDescent="0.25">
      <c r="A95" s="4">
        <v>94</v>
      </c>
      <c r="B95" s="4" t="s">
        <v>102</v>
      </c>
      <c r="C95" s="4" t="s">
        <v>7</v>
      </c>
      <c r="D95" s="4">
        <v>23</v>
      </c>
      <c r="E95" s="4" t="s">
        <v>8</v>
      </c>
      <c r="F95" s="4">
        <v>0.8</v>
      </c>
      <c r="G95" s="4" t="s">
        <v>12</v>
      </c>
      <c r="H95" s="4" t="s">
        <v>19</v>
      </c>
      <c r="I95" s="4">
        <f t="shared" ca="1" si="1"/>
        <v>2025</v>
      </c>
      <c r="J95" s="7" t="s">
        <v>315</v>
      </c>
    </row>
    <row r="96" spans="1:10" x14ac:dyDescent="0.25">
      <c r="A96" s="4">
        <v>95</v>
      </c>
      <c r="B96" s="4" t="s">
        <v>103</v>
      </c>
      <c r="C96" s="4" t="s">
        <v>7</v>
      </c>
      <c r="D96" s="4">
        <v>34</v>
      </c>
      <c r="E96" s="4" t="s">
        <v>15</v>
      </c>
      <c r="F96" s="4">
        <v>6.5</v>
      </c>
      <c r="G96" s="4" t="s">
        <v>12</v>
      </c>
      <c r="H96" s="4" t="s">
        <v>24</v>
      </c>
      <c r="I96" s="4">
        <f t="shared" ca="1" si="1"/>
        <v>2023</v>
      </c>
      <c r="J96" s="7" t="s">
        <v>316</v>
      </c>
    </row>
    <row r="97" spans="1:10" x14ac:dyDescent="0.25">
      <c r="A97" s="4">
        <v>96</v>
      </c>
      <c r="B97" s="4" t="s">
        <v>104</v>
      </c>
      <c r="C97" s="4" t="s">
        <v>7</v>
      </c>
      <c r="D97" s="4">
        <v>25</v>
      </c>
      <c r="E97" s="4" t="s">
        <v>15</v>
      </c>
      <c r="F97" s="4">
        <v>3.3</v>
      </c>
      <c r="G97" s="4" t="s">
        <v>9</v>
      </c>
      <c r="H97" s="4" t="s">
        <v>24</v>
      </c>
      <c r="I97" s="4">
        <f t="shared" ca="1" si="1"/>
        <v>2020</v>
      </c>
      <c r="J97" s="7" t="s">
        <v>317</v>
      </c>
    </row>
    <row r="98" spans="1:10" x14ac:dyDescent="0.25">
      <c r="A98" s="4">
        <v>97</v>
      </c>
      <c r="B98" s="4" t="s">
        <v>105</v>
      </c>
      <c r="C98" s="4" t="s">
        <v>7</v>
      </c>
      <c r="D98" s="4">
        <v>19</v>
      </c>
      <c r="E98" s="4" t="s">
        <v>8</v>
      </c>
      <c r="F98" s="4">
        <v>5.4</v>
      </c>
      <c r="G98" s="4" t="s">
        <v>9</v>
      </c>
      <c r="H98" s="4" t="s">
        <v>19</v>
      </c>
      <c r="I98" s="4">
        <f t="shared" ca="1" si="1"/>
        <v>2024</v>
      </c>
      <c r="J98" s="7" t="s">
        <v>318</v>
      </c>
    </row>
    <row r="99" spans="1:10" x14ac:dyDescent="0.25">
      <c r="A99" s="4">
        <v>98</v>
      </c>
      <c r="B99" s="4" t="s">
        <v>106</v>
      </c>
      <c r="C99" s="4" t="s">
        <v>7</v>
      </c>
      <c r="D99" s="4">
        <v>38</v>
      </c>
      <c r="E99" s="4" t="s">
        <v>15</v>
      </c>
      <c r="F99" s="4">
        <v>5.7</v>
      </c>
      <c r="G99" s="4" t="s">
        <v>9</v>
      </c>
      <c r="H99" s="4" t="s">
        <v>19</v>
      </c>
      <c r="I99" s="4">
        <f t="shared" ca="1" si="1"/>
        <v>2022</v>
      </c>
      <c r="J99" s="7" t="s">
        <v>319</v>
      </c>
    </row>
    <row r="100" spans="1:10" x14ac:dyDescent="0.25">
      <c r="A100" s="4">
        <v>99</v>
      </c>
      <c r="B100" s="4" t="s">
        <v>107</v>
      </c>
      <c r="C100" s="4" t="s">
        <v>7</v>
      </c>
      <c r="D100" s="4">
        <v>21</v>
      </c>
      <c r="E100" s="4" t="s">
        <v>8</v>
      </c>
      <c r="F100" s="4">
        <v>9</v>
      </c>
      <c r="G100" s="4" t="s">
        <v>9</v>
      </c>
      <c r="H100" s="4" t="s">
        <v>19</v>
      </c>
      <c r="I100" s="4">
        <f t="shared" ca="1" si="1"/>
        <v>2023</v>
      </c>
      <c r="J100" s="7" t="s">
        <v>320</v>
      </c>
    </row>
    <row r="101" spans="1:10" x14ac:dyDescent="0.25">
      <c r="A101" s="4">
        <v>100</v>
      </c>
      <c r="B101" s="4" t="s">
        <v>108</v>
      </c>
      <c r="C101" s="4" t="s">
        <v>7</v>
      </c>
      <c r="D101" s="4">
        <v>35</v>
      </c>
      <c r="E101" s="4" t="s">
        <v>8</v>
      </c>
      <c r="F101" s="4">
        <v>9.8000000000000007</v>
      </c>
      <c r="G101" s="4" t="s">
        <v>9</v>
      </c>
      <c r="H101" s="4" t="s">
        <v>24</v>
      </c>
      <c r="I101" s="4">
        <f t="shared" ca="1" si="1"/>
        <v>2025</v>
      </c>
      <c r="J101" s="7" t="s">
        <v>321</v>
      </c>
    </row>
    <row r="102" spans="1:10" x14ac:dyDescent="0.25">
      <c r="A102" s="4">
        <v>101</v>
      </c>
      <c r="B102" s="4" t="s">
        <v>109</v>
      </c>
      <c r="C102" s="4" t="s">
        <v>7</v>
      </c>
      <c r="D102" s="4">
        <v>36</v>
      </c>
      <c r="E102" s="4" t="s">
        <v>8</v>
      </c>
      <c r="F102" s="4">
        <v>4.7</v>
      </c>
      <c r="G102" s="4" t="s">
        <v>9</v>
      </c>
      <c r="H102" s="4" t="s">
        <v>21</v>
      </c>
      <c r="I102" s="4">
        <f t="shared" ca="1" si="1"/>
        <v>2021</v>
      </c>
      <c r="J102" s="7" t="s">
        <v>322</v>
      </c>
    </row>
    <row r="103" spans="1:10" x14ac:dyDescent="0.25">
      <c r="A103" s="4">
        <v>102</v>
      </c>
      <c r="B103" s="4" t="s">
        <v>110</v>
      </c>
      <c r="C103" s="4" t="s">
        <v>7</v>
      </c>
      <c r="D103" s="4">
        <v>36</v>
      </c>
      <c r="E103" s="4" t="s">
        <v>15</v>
      </c>
      <c r="F103" s="4">
        <v>5.8</v>
      </c>
      <c r="G103" s="4" t="s">
        <v>12</v>
      </c>
      <c r="H103" s="4" t="s">
        <v>10</v>
      </c>
      <c r="I103" s="4">
        <f t="shared" ca="1" si="1"/>
        <v>2020</v>
      </c>
      <c r="J103" s="7" t="s">
        <v>323</v>
      </c>
    </row>
    <row r="104" spans="1:10" x14ac:dyDescent="0.25">
      <c r="A104" s="4">
        <v>103</v>
      </c>
      <c r="B104" s="4" t="s">
        <v>111</v>
      </c>
      <c r="C104" s="4" t="s">
        <v>18</v>
      </c>
      <c r="D104" s="4">
        <v>22</v>
      </c>
      <c r="E104" s="4" t="s">
        <v>15</v>
      </c>
      <c r="F104" s="4">
        <v>5.2</v>
      </c>
      <c r="G104" s="4" t="s">
        <v>12</v>
      </c>
      <c r="H104" s="4" t="s">
        <v>24</v>
      </c>
      <c r="I104" s="4">
        <f t="shared" ca="1" si="1"/>
        <v>2024</v>
      </c>
      <c r="J104" s="7" t="s">
        <v>324</v>
      </c>
    </row>
    <row r="105" spans="1:10" x14ac:dyDescent="0.25">
      <c r="A105" s="4">
        <v>104</v>
      </c>
      <c r="B105" s="4" t="s">
        <v>112</v>
      </c>
      <c r="C105" s="4" t="s">
        <v>7</v>
      </c>
      <c r="D105" s="4">
        <v>34</v>
      </c>
      <c r="E105" s="4" t="s">
        <v>15</v>
      </c>
      <c r="F105" s="4">
        <v>9.4</v>
      </c>
      <c r="G105" s="4" t="s">
        <v>9</v>
      </c>
      <c r="H105" s="4" t="s">
        <v>19</v>
      </c>
      <c r="I105" s="4">
        <f t="shared" ca="1" si="1"/>
        <v>2021</v>
      </c>
      <c r="J105" s="7" t="s">
        <v>325</v>
      </c>
    </row>
    <row r="106" spans="1:10" x14ac:dyDescent="0.25">
      <c r="A106" s="4">
        <v>105</v>
      </c>
      <c r="B106" s="4" t="s">
        <v>113</v>
      </c>
      <c r="C106" s="4" t="s">
        <v>7</v>
      </c>
      <c r="D106" s="4">
        <v>35</v>
      </c>
      <c r="E106" s="4" t="s">
        <v>15</v>
      </c>
      <c r="F106" s="4">
        <v>9.9</v>
      </c>
      <c r="G106" s="4" t="s">
        <v>12</v>
      </c>
      <c r="H106" s="4" t="s">
        <v>19</v>
      </c>
      <c r="I106" s="4">
        <f t="shared" ca="1" si="1"/>
        <v>2020</v>
      </c>
      <c r="J106" s="7" t="s">
        <v>326</v>
      </c>
    </row>
    <row r="107" spans="1:10" x14ac:dyDescent="0.25">
      <c r="A107" s="4">
        <v>106</v>
      </c>
      <c r="B107" s="4" t="s">
        <v>114</v>
      </c>
      <c r="C107" s="4" t="s">
        <v>18</v>
      </c>
      <c r="D107" s="4">
        <v>37</v>
      </c>
      <c r="E107" s="4" t="s">
        <v>8</v>
      </c>
      <c r="F107" s="4">
        <v>3.9</v>
      </c>
      <c r="G107" s="4" t="s">
        <v>12</v>
      </c>
      <c r="H107" s="4" t="s">
        <v>21</v>
      </c>
      <c r="I107" s="4">
        <f t="shared" ca="1" si="1"/>
        <v>2021</v>
      </c>
      <c r="J107" s="7" t="s">
        <v>327</v>
      </c>
    </row>
    <row r="108" spans="1:10" x14ac:dyDescent="0.25">
      <c r="A108" s="4">
        <v>107</v>
      </c>
      <c r="B108" s="4" t="s">
        <v>115</v>
      </c>
      <c r="C108" s="4" t="s">
        <v>7</v>
      </c>
      <c r="D108" s="4">
        <v>30</v>
      </c>
      <c r="E108" s="4" t="s">
        <v>15</v>
      </c>
      <c r="F108" s="4">
        <v>7.1</v>
      </c>
      <c r="G108" s="4" t="s">
        <v>12</v>
      </c>
      <c r="H108" s="4" t="s">
        <v>21</v>
      </c>
      <c r="I108" s="4">
        <f t="shared" ca="1" si="1"/>
        <v>2025</v>
      </c>
      <c r="J108" s="7" t="s">
        <v>328</v>
      </c>
    </row>
    <row r="109" spans="1:10" x14ac:dyDescent="0.25">
      <c r="A109" s="4">
        <v>108</v>
      </c>
      <c r="B109" s="4" t="s">
        <v>116</v>
      </c>
      <c r="C109" s="4" t="s">
        <v>7</v>
      </c>
      <c r="D109" s="4">
        <v>18</v>
      </c>
      <c r="E109" s="4" t="s">
        <v>8</v>
      </c>
      <c r="F109" s="4">
        <v>7.2</v>
      </c>
      <c r="G109" s="4" t="s">
        <v>12</v>
      </c>
      <c r="H109" s="4" t="s">
        <v>21</v>
      </c>
      <c r="I109" s="4">
        <f t="shared" ca="1" si="1"/>
        <v>2023</v>
      </c>
      <c r="J109" s="7" t="s">
        <v>329</v>
      </c>
    </row>
    <row r="110" spans="1:10" x14ac:dyDescent="0.25">
      <c r="A110" s="4">
        <v>109</v>
      </c>
      <c r="B110" s="4" t="s">
        <v>117</v>
      </c>
      <c r="C110" s="4" t="s">
        <v>7</v>
      </c>
      <c r="D110" s="4">
        <v>23</v>
      </c>
      <c r="E110" s="4" t="s">
        <v>15</v>
      </c>
      <c r="F110" s="4">
        <v>8.1</v>
      </c>
      <c r="G110" s="4" t="s">
        <v>12</v>
      </c>
      <c r="H110" s="4" t="s">
        <v>10</v>
      </c>
      <c r="I110" s="4">
        <f t="shared" ca="1" si="1"/>
        <v>2020</v>
      </c>
      <c r="J110" s="7" t="s">
        <v>330</v>
      </c>
    </row>
    <row r="111" spans="1:10" x14ac:dyDescent="0.25">
      <c r="A111" s="4">
        <v>110</v>
      </c>
      <c r="B111" s="4" t="s">
        <v>118</v>
      </c>
      <c r="C111" s="4" t="s">
        <v>18</v>
      </c>
      <c r="D111" s="4">
        <v>30</v>
      </c>
      <c r="E111" s="4" t="s">
        <v>15</v>
      </c>
      <c r="F111" s="4">
        <v>9.8000000000000007</v>
      </c>
      <c r="G111" s="4" t="s">
        <v>9</v>
      </c>
      <c r="H111" s="4" t="s">
        <v>24</v>
      </c>
      <c r="I111" s="4">
        <f t="shared" ca="1" si="1"/>
        <v>2021</v>
      </c>
      <c r="J111" s="7" t="s">
        <v>331</v>
      </c>
    </row>
    <row r="112" spans="1:10" x14ac:dyDescent="0.25">
      <c r="A112" s="4">
        <v>111</v>
      </c>
      <c r="B112" s="4" t="s">
        <v>82</v>
      </c>
      <c r="C112" s="4" t="s">
        <v>7</v>
      </c>
      <c r="D112" s="4">
        <v>29</v>
      </c>
      <c r="E112" s="4" t="s">
        <v>8</v>
      </c>
      <c r="F112" s="4">
        <v>7.1</v>
      </c>
      <c r="G112" s="4" t="s">
        <v>9</v>
      </c>
      <c r="H112" s="4" t="s">
        <v>10</v>
      </c>
      <c r="I112" s="4">
        <f t="shared" ca="1" si="1"/>
        <v>2023</v>
      </c>
      <c r="J112" s="7" t="s">
        <v>332</v>
      </c>
    </row>
    <row r="113" spans="1:10" x14ac:dyDescent="0.25">
      <c r="A113" s="4">
        <v>112</v>
      </c>
      <c r="B113" s="4" t="s">
        <v>119</v>
      </c>
      <c r="C113" s="4" t="s">
        <v>7</v>
      </c>
      <c r="D113" s="4">
        <v>37</v>
      </c>
      <c r="E113" s="4" t="s">
        <v>15</v>
      </c>
      <c r="F113" s="4">
        <v>2.5</v>
      </c>
      <c r="G113" s="4" t="s">
        <v>9</v>
      </c>
      <c r="H113" s="4" t="s">
        <v>24</v>
      </c>
      <c r="I113" s="4">
        <f t="shared" ca="1" si="1"/>
        <v>2023</v>
      </c>
      <c r="J113" s="7" t="s">
        <v>333</v>
      </c>
    </row>
    <row r="114" spans="1:10" x14ac:dyDescent="0.25">
      <c r="A114" s="4">
        <v>113</v>
      </c>
      <c r="B114" s="4" t="s">
        <v>120</v>
      </c>
      <c r="C114" s="4" t="s">
        <v>7</v>
      </c>
      <c r="D114" s="4">
        <v>34</v>
      </c>
      <c r="E114" s="4" t="s">
        <v>8</v>
      </c>
      <c r="F114" s="4">
        <v>2.2000000000000002</v>
      </c>
      <c r="G114" s="4" t="s">
        <v>12</v>
      </c>
      <c r="H114" s="4" t="s">
        <v>24</v>
      </c>
      <c r="I114" s="4">
        <f t="shared" ca="1" si="1"/>
        <v>2021</v>
      </c>
      <c r="J114" s="7" t="s">
        <v>334</v>
      </c>
    </row>
    <row r="115" spans="1:10" x14ac:dyDescent="0.25">
      <c r="A115" s="4">
        <v>114</v>
      </c>
      <c r="B115" s="4" t="s">
        <v>121</v>
      </c>
      <c r="C115" s="4" t="s">
        <v>18</v>
      </c>
      <c r="D115" s="4">
        <v>36</v>
      </c>
      <c r="E115" s="4" t="s">
        <v>15</v>
      </c>
      <c r="F115" s="4">
        <v>1</v>
      </c>
      <c r="G115" s="4" t="s">
        <v>12</v>
      </c>
      <c r="H115" s="4" t="s">
        <v>24</v>
      </c>
      <c r="I115" s="4">
        <f t="shared" ca="1" si="1"/>
        <v>2022</v>
      </c>
      <c r="J115" s="7" t="s">
        <v>335</v>
      </c>
    </row>
    <row r="116" spans="1:10" x14ac:dyDescent="0.25">
      <c r="A116" s="4">
        <v>115</v>
      </c>
      <c r="B116" s="4" t="s">
        <v>69</v>
      </c>
      <c r="C116" s="4" t="s">
        <v>18</v>
      </c>
      <c r="D116" s="4">
        <v>32</v>
      </c>
      <c r="E116" s="4" t="s">
        <v>15</v>
      </c>
      <c r="F116" s="4">
        <v>4.4000000000000004</v>
      </c>
      <c r="G116" s="4" t="s">
        <v>12</v>
      </c>
      <c r="H116" s="4" t="s">
        <v>21</v>
      </c>
      <c r="I116" s="4">
        <f t="shared" ca="1" si="1"/>
        <v>2021</v>
      </c>
      <c r="J116" s="7" t="s">
        <v>336</v>
      </c>
    </row>
    <row r="117" spans="1:10" x14ac:dyDescent="0.25">
      <c r="A117" s="4">
        <v>116</v>
      </c>
      <c r="B117" s="4" t="s">
        <v>122</v>
      </c>
      <c r="C117" s="4" t="s">
        <v>18</v>
      </c>
      <c r="D117" s="4">
        <v>24</v>
      </c>
      <c r="E117" s="4" t="s">
        <v>8</v>
      </c>
      <c r="F117" s="4">
        <v>1.4</v>
      </c>
      <c r="G117" s="4" t="s">
        <v>9</v>
      </c>
      <c r="H117" s="4" t="s">
        <v>24</v>
      </c>
      <c r="I117" s="4">
        <f t="shared" ca="1" si="1"/>
        <v>2023</v>
      </c>
      <c r="J117" s="7" t="s">
        <v>283</v>
      </c>
    </row>
    <row r="118" spans="1:10" x14ac:dyDescent="0.25">
      <c r="A118" s="4">
        <v>117</v>
      </c>
      <c r="B118" s="4" t="s">
        <v>123</v>
      </c>
      <c r="C118" s="4" t="s">
        <v>7</v>
      </c>
      <c r="D118" s="4">
        <v>34</v>
      </c>
      <c r="E118" s="4" t="s">
        <v>15</v>
      </c>
      <c r="F118" s="4">
        <v>0.6</v>
      </c>
      <c r="G118" s="4" t="s">
        <v>12</v>
      </c>
      <c r="H118" s="4" t="s">
        <v>21</v>
      </c>
      <c r="I118" s="4">
        <f t="shared" ca="1" si="1"/>
        <v>2021</v>
      </c>
      <c r="J118" s="7" t="s">
        <v>289</v>
      </c>
    </row>
    <row r="119" spans="1:10" x14ac:dyDescent="0.25">
      <c r="A119" s="4">
        <v>118</v>
      </c>
      <c r="B119" s="4" t="s">
        <v>124</v>
      </c>
      <c r="C119" s="4" t="s">
        <v>18</v>
      </c>
      <c r="D119" s="4">
        <v>33</v>
      </c>
      <c r="E119" s="4" t="s">
        <v>8</v>
      </c>
      <c r="F119" s="4">
        <v>8.9</v>
      </c>
      <c r="G119" s="4" t="s">
        <v>9</v>
      </c>
      <c r="H119" s="4" t="s">
        <v>24</v>
      </c>
      <c r="I119" s="4">
        <f t="shared" ca="1" si="1"/>
        <v>2025</v>
      </c>
      <c r="J119" s="7" t="s">
        <v>337</v>
      </c>
    </row>
    <row r="120" spans="1:10" x14ac:dyDescent="0.25">
      <c r="A120" s="4">
        <v>119</v>
      </c>
      <c r="B120" s="4" t="s">
        <v>125</v>
      </c>
      <c r="C120" s="4" t="s">
        <v>7</v>
      </c>
      <c r="D120" s="4">
        <v>35</v>
      </c>
      <c r="E120" s="4" t="s">
        <v>8</v>
      </c>
      <c r="F120" s="4">
        <v>3.3</v>
      </c>
      <c r="G120" s="4" t="s">
        <v>9</v>
      </c>
      <c r="H120" s="4" t="s">
        <v>19</v>
      </c>
      <c r="I120" s="4">
        <f t="shared" ca="1" si="1"/>
        <v>2021</v>
      </c>
      <c r="J120" s="7" t="s">
        <v>338</v>
      </c>
    </row>
    <row r="121" spans="1:10" x14ac:dyDescent="0.25">
      <c r="A121" s="4">
        <v>120</v>
      </c>
      <c r="B121" s="4" t="s">
        <v>126</v>
      </c>
      <c r="C121" s="4" t="s">
        <v>7</v>
      </c>
      <c r="D121" s="4">
        <v>23</v>
      </c>
      <c r="E121" s="4" t="s">
        <v>8</v>
      </c>
      <c r="F121" s="4">
        <v>1</v>
      </c>
      <c r="G121" s="4" t="s">
        <v>12</v>
      </c>
      <c r="H121" s="4" t="s">
        <v>10</v>
      </c>
      <c r="I121" s="4">
        <f t="shared" ca="1" si="1"/>
        <v>2022</v>
      </c>
      <c r="J121" s="7" t="s">
        <v>339</v>
      </c>
    </row>
    <row r="122" spans="1:10" x14ac:dyDescent="0.25">
      <c r="A122" s="4">
        <v>121</v>
      </c>
      <c r="B122" s="4" t="s">
        <v>127</v>
      </c>
      <c r="C122" s="4" t="s">
        <v>7</v>
      </c>
      <c r="D122" s="4">
        <v>34</v>
      </c>
      <c r="E122" s="4" t="s">
        <v>8</v>
      </c>
      <c r="F122" s="4">
        <v>4.2</v>
      </c>
      <c r="G122" s="4" t="s">
        <v>12</v>
      </c>
      <c r="H122" s="4" t="s">
        <v>19</v>
      </c>
      <c r="I122" s="4">
        <f t="shared" ca="1" si="1"/>
        <v>2025</v>
      </c>
      <c r="J122" s="7" t="s">
        <v>340</v>
      </c>
    </row>
    <row r="123" spans="1:10" x14ac:dyDescent="0.25">
      <c r="A123" s="4">
        <v>122</v>
      </c>
      <c r="B123" s="4" t="s">
        <v>128</v>
      </c>
      <c r="C123" s="4" t="s">
        <v>7</v>
      </c>
      <c r="D123" s="4">
        <v>31</v>
      </c>
      <c r="E123" s="4" t="s">
        <v>15</v>
      </c>
      <c r="F123" s="4">
        <v>2.2000000000000002</v>
      </c>
      <c r="G123" s="4" t="s">
        <v>9</v>
      </c>
      <c r="H123" s="4" t="s">
        <v>10</v>
      </c>
      <c r="I123" s="4">
        <f t="shared" ca="1" si="1"/>
        <v>2021</v>
      </c>
      <c r="J123" s="7" t="s">
        <v>282</v>
      </c>
    </row>
    <row r="124" spans="1:10" x14ac:dyDescent="0.25">
      <c r="A124" s="4">
        <v>123</v>
      </c>
      <c r="B124" s="4" t="s">
        <v>86</v>
      </c>
      <c r="C124" s="4" t="s">
        <v>18</v>
      </c>
      <c r="D124" s="4">
        <v>33</v>
      </c>
      <c r="E124" s="4" t="s">
        <v>8</v>
      </c>
      <c r="F124" s="4">
        <v>7</v>
      </c>
      <c r="G124" s="4" t="s">
        <v>12</v>
      </c>
      <c r="H124" s="4" t="s">
        <v>10</v>
      </c>
      <c r="I124" s="4">
        <f t="shared" ca="1" si="1"/>
        <v>2024</v>
      </c>
      <c r="J124" s="7" t="s">
        <v>281</v>
      </c>
    </row>
    <row r="125" spans="1:10" x14ac:dyDescent="0.25">
      <c r="A125" s="4">
        <v>124</v>
      </c>
      <c r="B125" s="4" t="s">
        <v>129</v>
      </c>
      <c r="C125" s="4" t="s">
        <v>7</v>
      </c>
      <c r="D125" s="4">
        <v>27</v>
      </c>
      <c r="E125" s="4" t="s">
        <v>15</v>
      </c>
      <c r="F125" s="4">
        <v>5.5</v>
      </c>
      <c r="G125" s="4" t="s">
        <v>9</v>
      </c>
      <c r="H125" s="4" t="s">
        <v>10</v>
      </c>
      <c r="I125" s="4">
        <f t="shared" ca="1" si="1"/>
        <v>2020</v>
      </c>
      <c r="J125" s="7" t="s">
        <v>341</v>
      </c>
    </row>
    <row r="126" spans="1:10" x14ac:dyDescent="0.25">
      <c r="A126" s="4">
        <v>125</v>
      </c>
      <c r="B126" s="4" t="s">
        <v>130</v>
      </c>
      <c r="C126" s="4" t="s">
        <v>7</v>
      </c>
      <c r="D126" s="4">
        <v>22</v>
      </c>
      <c r="E126" s="4" t="s">
        <v>8</v>
      </c>
      <c r="F126" s="4">
        <v>9.4</v>
      </c>
      <c r="G126" s="4" t="s">
        <v>12</v>
      </c>
      <c r="H126" s="4" t="s">
        <v>21</v>
      </c>
      <c r="I126" s="4">
        <f t="shared" ca="1" si="1"/>
        <v>2025</v>
      </c>
      <c r="J126" s="7" t="s">
        <v>342</v>
      </c>
    </row>
    <row r="127" spans="1:10" x14ac:dyDescent="0.25">
      <c r="A127" s="4">
        <v>126</v>
      </c>
      <c r="B127" s="4" t="s">
        <v>131</v>
      </c>
      <c r="C127" s="4" t="s">
        <v>18</v>
      </c>
      <c r="D127" s="4">
        <v>37</v>
      </c>
      <c r="E127" s="4" t="s">
        <v>15</v>
      </c>
      <c r="F127" s="4">
        <v>4.8</v>
      </c>
      <c r="G127" s="4" t="s">
        <v>9</v>
      </c>
      <c r="H127" s="4" t="s">
        <v>24</v>
      </c>
      <c r="I127" s="4">
        <f t="shared" ca="1" si="1"/>
        <v>2020</v>
      </c>
      <c r="J127" s="7" t="s">
        <v>343</v>
      </c>
    </row>
    <row r="128" spans="1:10" x14ac:dyDescent="0.25">
      <c r="A128" s="4">
        <v>127</v>
      </c>
      <c r="B128" s="4" t="s">
        <v>132</v>
      </c>
      <c r="C128" s="4" t="s">
        <v>18</v>
      </c>
      <c r="D128" s="4">
        <v>30</v>
      </c>
      <c r="E128" s="4" t="s">
        <v>8</v>
      </c>
      <c r="F128" s="4">
        <v>4.8</v>
      </c>
      <c r="G128" s="4" t="s">
        <v>12</v>
      </c>
      <c r="H128" s="4" t="s">
        <v>24</v>
      </c>
      <c r="I128" s="4">
        <f t="shared" ca="1" si="1"/>
        <v>2025</v>
      </c>
      <c r="J128" s="7" t="s">
        <v>344</v>
      </c>
    </row>
    <row r="129" spans="1:10" x14ac:dyDescent="0.25">
      <c r="A129" s="4">
        <v>128</v>
      </c>
      <c r="B129" s="4" t="s">
        <v>133</v>
      </c>
      <c r="C129" s="4" t="s">
        <v>7</v>
      </c>
      <c r="D129" s="4">
        <v>28</v>
      </c>
      <c r="E129" s="4" t="s">
        <v>15</v>
      </c>
      <c r="F129" s="4">
        <v>4.5999999999999996</v>
      </c>
      <c r="G129" s="4" t="s">
        <v>9</v>
      </c>
      <c r="H129" s="4" t="s">
        <v>21</v>
      </c>
      <c r="I129" s="4">
        <f t="shared" ca="1" si="1"/>
        <v>2021</v>
      </c>
      <c r="J129" s="7" t="s">
        <v>345</v>
      </c>
    </row>
    <row r="130" spans="1:10" x14ac:dyDescent="0.25">
      <c r="A130" s="4">
        <v>129</v>
      </c>
      <c r="B130" s="4" t="s">
        <v>134</v>
      </c>
      <c r="C130" s="4" t="s">
        <v>7</v>
      </c>
      <c r="D130" s="4">
        <v>30</v>
      </c>
      <c r="E130" s="4" t="s">
        <v>15</v>
      </c>
      <c r="F130" s="4">
        <v>0.6</v>
      </c>
      <c r="G130" s="4" t="s">
        <v>12</v>
      </c>
      <c r="H130" s="4" t="s">
        <v>10</v>
      </c>
      <c r="I130" s="4">
        <f t="shared" ca="1" si="1"/>
        <v>2021</v>
      </c>
      <c r="J130" s="7" t="s">
        <v>346</v>
      </c>
    </row>
    <row r="131" spans="1:10" x14ac:dyDescent="0.25">
      <c r="A131" s="4">
        <v>130</v>
      </c>
      <c r="B131" s="4" t="s">
        <v>135</v>
      </c>
      <c r="C131" s="4" t="s">
        <v>7</v>
      </c>
      <c r="D131" s="4">
        <v>37</v>
      </c>
      <c r="E131" s="4" t="s">
        <v>15</v>
      </c>
      <c r="F131" s="4">
        <v>3.7</v>
      </c>
      <c r="G131" s="4" t="s">
        <v>12</v>
      </c>
      <c r="H131" s="4" t="s">
        <v>10</v>
      </c>
      <c r="I131" s="4">
        <f t="shared" ref="I131:I151" ca="1" si="2">RANDBETWEEN(2020,2025)</f>
        <v>2021</v>
      </c>
      <c r="J131" s="7" t="s">
        <v>222</v>
      </c>
    </row>
    <row r="132" spans="1:10" x14ac:dyDescent="0.25">
      <c r="A132" s="4">
        <v>131</v>
      </c>
      <c r="B132" s="4" t="s">
        <v>136</v>
      </c>
      <c r="C132" s="4" t="s">
        <v>7</v>
      </c>
      <c r="D132" s="4">
        <v>36</v>
      </c>
      <c r="E132" s="4" t="s">
        <v>8</v>
      </c>
      <c r="F132" s="4">
        <v>8.3000000000000007</v>
      </c>
      <c r="G132" s="4" t="s">
        <v>12</v>
      </c>
      <c r="H132" s="4" t="s">
        <v>21</v>
      </c>
      <c r="I132" s="4">
        <f t="shared" ca="1" si="2"/>
        <v>2021</v>
      </c>
      <c r="J132" s="7" t="s">
        <v>223</v>
      </c>
    </row>
    <row r="133" spans="1:10" x14ac:dyDescent="0.25">
      <c r="A133" s="4">
        <v>132</v>
      </c>
      <c r="B133" s="4" t="s">
        <v>23</v>
      </c>
      <c r="C133" s="4" t="s">
        <v>18</v>
      </c>
      <c r="D133" s="4">
        <v>25</v>
      </c>
      <c r="E133" s="4" t="s">
        <v>8</v>
      </c>
      <c r="F133" s="4">
        <v>9.1999999999999993</v>
      </c>
      <c r="G133" s="4" t="s">
        <v>9</v>
      </c>
      <c r="H133" s="4" t="s">
        <v>10</v>
      </c>
      <c r="I133" s="4">
        <f t="shared" ca="1" si="2"/>
        <v>2022</v>
      </c>
      <c r="J133" s="7" t="s">
        <v>224</v>
      </c>
    </row>
    <row r="134" spans="1:10" x14ac:dyDescent="0.25">
      <c r="A134" s="4">
        <v>133</v>
      </c>
      <c r="B134" s="4" t="s">
        <v>137</v>
      </c>
      <c r="C134" s="4" t="s">
        <v>18</v>
      </c>
      <c r="D134" s="4">
        <v>26</v>
      </c>
      <c r="E134" s="4" t="s">
        <v>15</v>
      </c>
      <c r="F134" s="4">
        <v>7.5</v>
      </c>
      <c r="G134" s="4" t="s">
        <v>12</v>
      </c>
      <c r="H134" s="4" t="s">
        <v>19</v>
      </c>
      <c r="I134" s="4">
        <f t="shared" ca="1" si="2"/>
        <v>2023</v>
      </c>
      <c r="J134" s="7" t="s">
        <v>271</v>
      </c>
    </row>
    <row r="135" spans="1:10" x14ac:dyDescent="0.25">
      <c r="A135" s="4">
        <v>134</v>
      </c>
      <c r="B135" s="4" t="s">
        <v>50</v>
      </c>
      <c r="C135" s="4" t="s">
        <v>18</v>
      </c>
      <c r="D135" s="4">
        <v>32</v>
      </c>
      <c r="E135" s="4" t="s">
        <v>15</v>
      </c>
      <c r="F135" s="4">
        <v>8.1</v>
      </c>
      <c r="G135" s="4" t="s">
        <v>9</v>
      </c>
      <c r="H135" s="4" t="s">
        <v>10</v>
      </c>
      <c r="I135" s="4">
        <f t="shared" ca="1" si="2"/>
        <v>2022</v>
      </c>
      <c r="J135" s="7" t="s">
        <v>226</v>
      </c>
    </row>
    <row r="136" spans="1:10" x14ac:dyDescent="0.25">
      <c r="A136" s="4">
        <v>135</v>
      </c>
      <c r="B136" s="4" t="s">
        <v>138</v>
      </c>
      <c r="C136" s="4" t="s">
        <v>7</v>
      </c>
      <c r="D136" s="4">
        <v>33</v>
      </c>
      <c r="E136" s="4" t="s">
        <v>15</v>
      </c>
      <c r="F136" s="4">
        <v>8.9</v>
      </c>
      <c r="G136" s="4" t="s">
        <v>9</v>
      </c>
      <c r="H136" s="4" t="s">
        <v>10</v>
      </c>
      <c r="I136" s="4">
        <f t="shared" ca="1" si="2"/>
        <v>2022</v>
      </c>
      <c r="J136" s="7" t="s">
        <v>227</v>
      </c>
    </row>
    <row r="137" spans="1:10" x14ac:dyDescent="0.25">
      <c r="A137" s="4">
        <v>136</v>
      </c>
      <c r="B137" s="4" t="s">
        <v>139</v>
      </c>
      <c r="C137" s="4" t="s">
        <v>7</v>
      </c>
      <c r="D137" s="4">
        <v>18</v>
      </c>
      <c r="E137" s="4" t="s">
        <v>8</v>
      </c>
      <c r="F137" s="4">
        <v>2.7</v>
      </c>
      <c r="G137" s="4" t="s">
        <v>12</v>
      </c>
      <c r="H137" s="4" t="s">
        <v>21</v>
      </c>
      <c r="I137" s="4">
        <f t="shared" ca="1" si="2"/>
        <v>2021</v>
      </c>
      <c r="J137" s="7" t="s">
        <v>228</v>
      </c>
    </row>
    <row r="138" spans="1:10" x14ac:dyDescent="0.25">
      <c r="A138" s="4">
        <v>137</v>
      </c>
      <c r="B138" s="4" t="s">
        <v>140</v>
      </c>
      <c r="C138" s="4" t="s">
        <v>7</v>
      </c>
      <c r="D138" s="4">
        <v>18</v>
      </c>
      <c r="E138" s="4" t="s">
        <v>8</v>
      </c>
      <c r="F138" s="4">
        <v>7.6</v>
      </c>
      <c r="G138" s="4" t="s">
        <v>9</v>
      </c>
      <c r="H138" s="4" t="s">
        <v>10</v>
      </c>
      <c r="I138" s="4">
        <f t="shared" ca="1" si="2"/>
        <v>2022</v>
      </c>
      <c r="J138" s="7" t="s">
        <v>229</v>
      </c>
    </row>
    <row r="139" spans="1:10" x14ac:dyDescent="0.25">
      <c r="A139" s="4">
        <v>138</v>
      </c>
      <c r="B139" s="4" t="s">
        <v>141</v>
      </c>
      <c r="C139" s="4" t="s">
        <v>7</v>
      </c>
      <c r="D139" s="4">
        <v>27</v>
      </c>
      <c r="E139" s="4" t="s">
        <v>15</v>
      </c>
      <c r="F139" s="4">
        <v>2.1</v>
      </c>
      <c r="G139" s="4" t="s">
        <v>9</v>
      </c>
      <c r="H139" s="4" t="s">
        <v>10</v>
      </c>
      <c r="I139" s="4">
        <f t="shared" ca="1" si="2"/>
        <v>2025</v>
      </c>
      <c r="J139" s="7" t="s">
        <v>230</v>
      </c>
    </row>
    <row r="140" spans="1:10" x14ac:dyDescent="0.25">
      <c r="A140" s="4">
        <v>139</v>
      </c>
      <c r="B140" s="4" t="s">
        <v>63</v>
      </c>
      <c r="C140" s="4" t="s">
        <v>7</v>
      </c>
      <c r="D140" s="4">
        <v>29</v>
      </c>
      <c r="E140" s="4" t="s">
        <v>8</v>
      </c>
      <c r="F140" s="4">
        <v>8.6</v>
      </c>
      <c r="G140" s="4" t="s">
        <v>12</v>
      </c>
      <c r="H140" s="4" t="s">
        <v>21</v>
      </c>
      <c r="I140" s="4">
        <f t="shared" ca="1" si="2"/>
        <v>2022</v>
      </c>
      <c r="J140" s="7" t="s">
        <v>231</v>
      </c>
    </row>
    <row r="141" spans="1:10" x14ac:dyDescent="0.25">
      <c r="A141" s="4">
        <v>140</v>
      </c>
      <c r="B141" s="4" t="s">
        <v>142</v>
      </c>
      <c r="C141" s="4" t="s">
        <v>7</v>
      </c>
      <c r="D141" s="4">
        <v>23</v>
      </c>
      <c r="E141" s="4" t="s">
        <v>15</v>
      </c>
      <c r="F141" s="4">
        <v>0.8</v>
      </c>
      <c r="G141" s="4" t="s">
        <v>12</v>
      </c>
      <c r="H141" s="4" t="s">
        <v>24</v>
      </c>
      <c r="I141" s="4">
        <f t="shared" ca="1" si="2"/>
        <v>2024</v>
      </c>
      <c r="J141" s="7" t="s">
        <v>232</v>
      </c>
    </row>
    <row r="142" spans="1:10" x14ac:dyDescent="0.25">
      <c r="A142" s="4">
        <v>141</v>
      </c>
      <c r="B142" s="4" t="s">
        <v>143</v>
      </c>
      <c r="C142" s="4" t="s">
        <v>18</v>
      </c>
      <c r="D142" s="4">
        <v>35</v>
      </c>
      <c r="E142" s="4" t="s">
        <v>15</v>
      </c>
      <c r="F142" s="4">
        <v>3.8</v>
      </c>
      <c r="G142" s="4" t="s">
        <v>12</v>
      </c>
      <c r="H142" s="4" t="s">
        <v>24</v>
      </c>
      <c r="I142" s="4">
        <f t="shared" ca="1" si="2"/>
        <v>2022</v>
      </c>
      <c r="J142" s="7" t="s">
        <v>233</v>
      </c>
    </row>
    <row r="143" spans="1:10" x14ac:dyDescent="0.25">
      <c r="A143" s="4">
        <v>142</v>
      </c>
      <c r="B143" s="4" t="s">
        <v>44</v>
      </c>
      <c r="C143" s="4" t="s">
        <v>18</v>
      </c>
      <c r="D143" s="4">
        <v>31</v>
      </c>
      <c r="E143" s="4" t="s">
        <v>15</v>
      </c>
      <c r="F143" s="4">
        <v>2.9</v>
      </c>
      <c r="G143" s="4" t="s">
        <v>12</v>
      </c>
      <c r="H143" s="4" t="s">
        <v>21</v>
      </c>
      <c r="I143" s="4">
        <f t="shared" ca="1" si="2"/>
        <v>2025</v>
      </c>
      <c r="J143" s="7" t="s">
        <v>234</v>
      </c>
    </row>
    <row r="144" spans="1:10" x14ac:dyDescent="0.25">
      <c r="A144" s="4">
        <v>143</v>
      </c>
      <c r="B144" s="4" t="s">
        <v>144</v>
      </c>
      <c r="C144" s="4" t="s">
        <v>18</v>
      </c>
      <c r="D144" s="4">
        <v>28</v>
      </c>
      <c r="E144" s="4" t="s">
        <v>8</v>
      </c>
      <c r="F144" s="4">
        <v>2.7</v>
      </c>
      <c r="G144" s="4" t="s">
        <v>9</v>
      </c>
      <c r="H144" s="4" t="s">
        <v>24</v>
      </c>
      <c r="I144" s="4">
        <f t="shared" ca="1" si="2"/>
        <v>2023</v>
      </c>
      <c r="J144" s="7" t="s">
        <v>235</v>
      </c>
    </row>
    <row r="145" spans="1:10" x14ac:dyDescent="0.25">
      <c r="A145" s="4">
        <v>144</v>
      </c>
      <c r="B145" s="4" t="s">
        <v>145</v>
      </c>
      <c r="C145" s="4" t="s">
        <v>7</v>
      </c>
      <c r="D145" s="4">
        <v>19</v>
      </c>
      <c r="E145" s="4" t="s">
        <v>15</v>
      </c>
      <c r="F145" s="4">
        <v>6.6</v>
      </c>
      <c r="G145" s="4" t="s">
        <v>12</v>
      </c>
      <c r="H145" s="4" t="s">
        <v>24</v>
      </c>
      <c r="I145" s="4">
        <f t="shared" ca="1" si="2"/>
        <v>2020</v>
      </c>
      <c r="J145" s="7" t="s">
        <v>236</v>
      </c>
    </row>
    <row r="146" spans="1:10" x14ac:dyDescent="0.25">
      <c r="A146" s="4">
        <v>145</v>
      </c>
      <c r="B146" s="4" t="s">
        <v>146</v>
      </c>
      <c r="C146" s="4" t="s">
        <v>7</v>
      </c>
      <c r="D146" s="4">
        <v>34</v>
      </c>
      <c r="E146" s="4" t="s">
        <v>15</v>
      </c>
      <c r="F146" s="4">
        <v>4</v>
      </c>
      <c r="G146" s="4" t="s">
        <v>12</v>
      </c>
      <c r="H146" s="4" t="s">
        <v>10</v>
      </c>
      <c r="I146" s="4">
        <f t="shared" ca="1" si="2"/>
        <v>2023</v>
      </c>
      <c r="J146" s="7" t="s">
        <v>237</v>
      </c>
    </row>
    <row r="147" spans="1:10" x14ac:dyDescent="0.25">
      <c r="A147" s="4">
        <v>146</v>
      </c>
      <c r="B147" s="4" t="s">
        <v>147</v>
      </c>
      <c r="C147" s="4" t="s">
        <v>7</v>
      </c>
      <c r="D147" s="4">
        <v>23</v>
      </c>
      <c r="E147" s="4" t="s">
        <v>15</v>
      </c>
      <c r="F147" s="4">
        <v>8.6999999999999993</v>
      </c>
      <c r="G147" s="4" t="s">
        <v>9</v>
      </c>
      <c r="H147" s="4" t="s">
        <v>21</v>
      </c>
      <c r="I147" s="4">
        <f t="shared" ca="1" si="2"/>
        <v>2024</v>
      </c>
      <c r="J147" s="7" t="s">
        <v>238</v>
      </c>
    </row>
    <row r="148" spans="1:10" x14ac:dyDescent="0.25">
      <c r="A148" s="4">
        <v>147</v>
      </c>
      <c r="B148" s="4" t="s">
        <v>148</v>
      </c>
      <c r="C148" s="4" t="s">
        <v>7</v>
      </c>
      <c r="D148" s="4">
        <v>25</v>
      </c>
      <c r="E148" s="4" t="s">
        <v>15</v>
      </c>
      <c r="F148" s="4">
        <v>0.9</v>
      </c>
      <c r="G148" s="4" t="s">
        <v>12</v>
      </c>
      <c r="H148" s="4" t="s">
        <v>24</v>
      </c>
      <c r="I148" s="4">
        <f t="shared" ca="1" si="2"/>
        <v>2022</v>
      </c>
      <c r="J148" s="7" t="s">
        <v>239</v>
      </c>
    </row>
    <row r="149" spans="1:10" x14ac:dyDescent="0.25">
      <c r="A149" s="4">
        <v>148</v>
      </c>
      <c r="B149" s="4" t="s">
        <v>149</v>
      </c>
      <c r="C149" s="4" t="s">
        <v>7</v>
      </c>
      <c r="D149" s="4">
        <v>33</v>
      </c>
      <c r="E149" s="4" t="s">
        <v>15</v>
      </c>
      <c r="F149" s="4">
        <v>8.8000000000000007</v>
      </c>
      <c r="G149" s="4" t="s">
        <v>9</v>
      </c>
      <c r="H149" s="4" t="s">
        <v>10</v>
      </c>
      <c r="I149" s="4">
        <f t="shared" ca="1" si="2"/>
        <v>2025</v>
      </c>
      <c r="J149" s="7" t="s">
        <v>240</v>
      </c>
    </row>
    <row r="150" spans="1:10" x14ac:dyDescent="0.25">
      <c r="A150" s="4">
        <v>149</v>
      </c>
      <c r="B150" s="4" t="s">
        <v>13</v>
      </c>
      <c r="C150" s="4" t="s">
        <v>7</v>
      </c>
      <c r="D150" s="4">
        <v>21</v>
      </c>
      <c r="E150" s="4" t="s">
        <v>15</v>
      </c>
      <c r="F150" s="4">
        <v>0.6</v>
      </c>
      <c r="G150" s="4" t="s">
        <v>12</v>
      </c>
      <c r="H150" s="4" t="s">
        <v>24</v>
      </c>
      <c r="I150" s="4">
        <f t="shared" ca="1" si="2"/>
        <v>2025</v>
      </c>
      <c r="J150" s="7" t="s">
        <v>241</v>
      </c>
    </row>
    <row r="151" spans="1:10" x14ac:dyDescent="0.25">
      <c r="A151" s="4">
        <v>150</v>
      </c>
      <c r="B151" s="4" t="s">
        <v>150</v>
      </c>
      <c r="C151" s="4" t="s">
        <v>7</v>
      </c>
      <c r="D151" s="4">
        <v>30</v>
      </c>
      <c r="E151" s="4" t="s">
        <v>8</v>
      </c>
      <c r="F151" s="4">
        <v>3.2</v>
      </c>
      <c r="G151" s="4" t="s">
        <v>12</v>
      </c>
      <c r="H151" s="4" t="s">
        <v>10</v>
      </c>
      <c r="I151" s="4">
        <f t="shared" ca="1" si="2"/>
        <v>2023</v>
      </c>
      <c r="J151" s="7" t="s">
        <v>242</v>
      </c>
    </row>
  </sheetData>
  <conditionalFormatting sqref="A1:J151">
    <cfRule type="expression" dxfId="2" priority="1">
      <formula>MOD(ROW(),2)=1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E776-1ABC-494A-9287-CC8EC0B41A5F}">
  <dimension ref="A1:N151"/>
  <sheetViews>
    <sheetView topLeftCell="C1" workbookViewId="0">
      <selection activeCell="E19" sqref="A1:N151"/>
    </sheetView>
  </sheetViews>
  <sheetFormatPr defaultRowHeight="15" x14ac:dyDescent="0.25"/>
  <cols>
    <col min="1" max="1" width="13.42578125" customWidth="1"/>
    <col min="2" max="2" width="18.140625" customWidth="1"/>
    <col min="3" max="3" width="20.85546875" customWidth="1"/>
    <col min="4" max="4" width="22.5703125" customWidth="1"/>
    <col min="5" max="5" width="23.7109375" customWidth="1"/>
    <col min="6" max="8" width="18.140625" customWidth="1"/>
    <col min="9" max="9" width="34.5703125" customWidth="1"/>
    <col min="10" max="10" width="33.42578125" customWidth="1"/>
    <col min="11" max="11" width="18.140625" customWidth="1"/>
    <col min="12" max="12" width="25.85546875" customWidth="1"/>
    <col min="13" max="13" width="16.7109375" customWidth="1"/>
    <col min="14" max="14" width="18.140625" customWidth="1"/>
  </cols>
  <sheetData>
    <row r="1" spans="1:14" x14ac:dyDescent="0.25">
      <c r="A1" s="5" t="s">
        <v>217</v>
      </c>
      <c r="B1" s="5" t="s">
        <v>153</v>
      </c>
      <c r="C1" s="5" t="s">
        <v>154</v>
      </c>
      <c r="D1" s="5" t="s">
        <v>155</v>
      </c>
      <c r="E1" s="5" t="s">
        <v>156</v>
      </c>
      <c r="F1" s="5" t="s">
        <v>157</v>
      </c>
      <c r="G1" s="5" t="s">
        <v>158</v>
      </c>
      <c r="H1" s="5" t="s">
        <v>159</v>
      </c>
      <c r="I1" s="5" t="s">
        <v>160</v>
      </c>
      <c r="J1" s="5" t="s">
        <v>161</v>
      </c>
      <c r="K1" s="5" t="s">
        <v>162</v>
      </c>
      <c r="L1" s="5" t="s">
        <v>163</v>
      </c>
      <c r="M1" s="5" t="s">
        <v>216</v>
      </c>
      <c r="N1" s="5" t="s">
        <v>218</v>
      </c>
    </row>
    <row r="2" spans="1:14" x14ac:dyDescent="0.25">
      <c r="A2" s="4">
        <v>1</v>
      </c>
      <c r="B2" s="4" t="s">
        <v>164</v>
      </c>
      <c r="C2" s="4" t="s">
        <v>165</v>
      </c>
      <c r="D2" s="4" t="s">
        <v>166</v>
      </c>
      <c r="E2" s="4" t="s">
        <v>165</v>
      </c>
      <c r="F2" s="4" t="s">
        <v>167</v>
      </c>
      <c r="G2" s="4" t="s">
        <v>168</v>
      </c>
      <c r="H2" s="4">
        <f ca="1">RANDBETWEEN(0,3)</f>
        <v>0</v>
      </c>
      <c r="I2" s="4">
        <v>0</v>
      </c>
      <c r="J2" s="4" t="s">
        <v>169</v>
      </c>
      <c r="K2" s="4" t="s">
        <v>169</v>
      </c>
      <c r="L2" s="4" t="s">
        <v>170</v>
      </c>
      <c r="M2" s="4">
        <v>9</v>
      </c>
      <c r="N2" s="4">
        <f ca="1">RANDBETWEEN(0,2)</f>
        <v>0</v>
      </c>
    </row>
    <row r="3" spans="1:14" x14ac:dyDescent="0.25">
      <c r="A3" s="4">
        <v>2</v>
      </c>
      <c r="B3" s="4" t="s">
        <v>171</v>
      </c>
      <c r="C3" s="4" t="s">
        <v>165</v>
      </c>
      <c r="D3" s="4" t="s">
        <v>172</v>
      </c>
      <c r="E3" s="4" t="s">
        <v>165</v>
      </c>
      <c r="F3" s="4" t="s">
        <v>173</v>
      </c>
      <c r="G3" s="4" t="s">
        <v>173</v>
      </c>
      <c r="H3" s="4">
        <f t="shared" ref="H3:H66" ca="1" si="0">RANDBETWEEN(0,3)</f>
        <v>0</v>
      </c>
      <c r="I3" s="4">
        <v>1</v>
      </c>
      <c r="J3" s="4" t="s">
        <v>169</v>
      </c>
      <c r="K3" s="4" t="s">
        <v>165</v>
      </c>
      <c r="L3" s="4" t="s">
        <v>174</v>
      </c>
      <c r="M3" s="4">
        <v>4</v>
      </c>
      <c r="N3" s="4">
        <f t="shared" ref="N3:N66" ca="1" si="1">RANDBETWEEN(0,2)</f>
        <v>1</v>
      </c>
    </row>
    <row r="4" spans="1:14" x14ac:dyDescent="0.25">
      <c r="A4" s="4">
        <v>3</v>
      </c>
      <c r="B4" s="4" t="s">
        <v>175</v>
      </c>
      <c r="C4" s="4" t="s">
        <v>165</v>
      </c>
      <c r="D4" s="4" t="s">
        <v>164</v>
      </c>
      <c r="E4" s="4" t="s">
        <v>165</v>
      </c>
      <c r="F4" s="4" t="s">
        <v>176</v>
      </c>
      <c r="G4" s="4" t="s">
        <v>177</v>
      </c>
      <c r="H4" s="4">
        <f t="shared" ca="1" si="0"/>
        <v>2</v>
      </c>
      <c r="I4" s="4">
        <v>1</v>
      </c>
      <c r="J4" s="4" t="s">
        <v>165</v>
      </c>
      <c r="K4" s="4" t="s">
        <v>169</v>
      </c>
      <c r="L4" s="4" t="s">
        <v>170</v>
      </c>
      <c r="M4" s="4">
        <v>6</v>
      </c>
      <c r="N4" s="4">
        <f t="shared" ca="1" si="1"/>
        <v>2</v>
      </c>
    </row>
    <row r="5" spans="1:14" x14ac:dyDescent="0.25">
      <c r="A5" s="4">
        <v>4</v>
      </c>
      <c r="B5" s="4" t="s">
        <v>175</v>
      </c>
      <c r="C5" s="4" t="s">
        <v>169</v>
      </c>
      <c r="D5" s="4" t="s">
        <v>164</v>
      </c>
      <c r="E5" s="4" t="s">
        <v>169</v>
      </c>
      <c r="F5" s="4" t="s">
        <v>176</v>
      </c>
      <c r="G5" s="4" t="s">
        <v>168</v>
      </c>
      <c r="H5" s="4">
        <f t="shared" ca="1" si="0"/>
        <v>1</v>
      </c>
      <c r="I5" s="4">
        <v>0</v>
      </c>
      <c r="J5" s="4" t="s">
        <v>165</v>
      </c>
      <c r="K5" s="4" t="s">
        <v>169</v>
      </c>
      <c r="L5" s="4" t="s">
        <v>170</v>
      </c>
      <c r="M5" s="4">
        <v>12</v>
      </c>
      <c r="N5" s="4">
        <f t="shared" ca="1" si="1"/>
        <v>0</v>
      </c>
    </row>
    <row r="6" spans="1:14" x14ac:dyDescent="0.25">
      <c r="A6" s="4">
        <v>5</v>
      </c>
      <c r="B6" s="4" t="s">
        <v>164</v>
      </c>
      <c r="C6" s="4" t="s">
        <v>165</v>
      </c>
      <c r="D6" s="4" t="s">
        <v>164</v>
      </c>
      <c r="E6" s="4" t="s">
        <v>169</v>
      </c>
      <c r="F6" s="4" t="s">
        <v>173</v>
      </c>
      <c r="G6" s="4" t="s">
        <v>173</v>
      </c>
      <c r="H6" s="4">
        <f t="shared" ca="1" si="0"/>
        <v>2</v>
      </c>
      <c r="I6" s="4">
        <v>0</v>
      </c>
      <c r="J6" s="4" t="s">
        <v>165</v>
      </c>
      <c r="K6" s="4" t="s">
        <v>165</v>
      </c>
      <c r="L6" s="4" t="s">
        <v>174</v>
      </c>
      <c r="M6" s="4">
        <v>8</v>
      </c>
      <c r="N6" s="4">
        <f t="shared" ca="1" si="1"/>
        <v>2</v>
      </c>
    </row>
    <row r="7" spans="1:14" x14ac:dyDescent="0.25">
      <c r="A7" s="4">
        <v>6</v>
      </c>
      <c r="B7" s="4" t="s">
        <v>175</v>
      </c>
      <c r="C7" s="4" t="s">
        <v>169</v>
      </c>
      <c r="D7" s="4" t="s">
        <v>179</v>
      </c>
      <c r="E7" s="4" t="s">
        <v>165</v>
      </c>
      <c r="F7" s="4" t="s">
        <v>167</v>
      </c>
      <c r="G7" s="4" t="s">
        <v>167</v>
      </c>
      <c r="H7" s="4">
        <f t="shared" ca="1" si="0"/>
        <v>3</v>
      </c>
      <c r="I7" s="4" t="s">
        <v>178</v>
      </c>
      <c r="J7" s="4" t="s">
        <v>165</v>
      </c>
      <c r="K7" s="4" t="s">
        <v>165</v>
      </c>
      <c r="L7" s="4" t="s">
        <v>176</v>
      </c>
      <c r="M7" s="4">
        <v>2</v>
      </c>
      <c r="N7" s="4">
        <v>1</v>
      </c>
    </row>
    <row r="8" spans="1:14" x14ac:dyDescent="0.25">
      <c r="A8" s="4">
        <v>7</v>
      </c>
      <c r="B8" s="4" t="s">
        <v>164</v>
      </c>
      <c r="C8" s="4" t="s">
        <v>165</v>
      </c>
      <c r="D8" s="4" t="s">
        <v>164</v>
      </c>
      <c r="E8" s="4" t="s">
        <v>169</v>
      </c>
      <c r="F8" s="4" t="s">
        <v>173</v>
      </c>
      <c r="G8" s="4" t="s">
        <v>173</v>
      </c>
      <c r="H8" s="4">
        <f t="shared" ca="1" si="0"/>
        <v>0</v>
      </c>
      <c r="I8" s="4" t="s">
        <v>178</v>
      </c>
      <c r="J8" s="4" t="s">
        <v>169</v>
      </c>
      <c r="K8" s="4" t="s">
        <v>165</v>
      </c>
      <c r="L8" s="4" t="s">
        <v>174</v>
      </c>
      <c r="M8" s="4">
        <v>3</v>
      </c>
      <c r="N8" s="4">
        <f t="shared" ca="1" si="1"/>
        <v>2</v>
      </c>
    </row>
    <row r="9" spans="1:14" x14ac:dyDescent="0.25">
      <c r="A9" s="4">
        <v>8</v>
      </c>
      <c r="B9" s="4" t="s">
        <v>164</v>
      </c>
      <c r="C9" s="4" t="s">
        <v>165</v>
      </c>
      <c r="D9" s="4" t="s">
        <v>164</v>
      </c>
      <c r="E9" s="4" t="s">
        <v>165</v>
      </c>
      <c r="F9" s="4" t="s">
        <v>173</v>
      </c>
      <c r="G9" s="4" t="s">
        <v>173</v>
      </c>
      <c r="H9" s="4">
        <f t="shared" ca="1" si="0"/>
        <v>0</v>
      </c>
      <c r="I9" s="4">
        <v>2</v>
      </c>
      <c r="J9" s="4" t="s">
        <v>169</v>
      </c>
      <c r="K9" s="4" t="s">
        <v>165</v>
      </c>
      <c r="L9" s="4" t="s">
        <v>176</v>
      </c>
      <c r="M9" s="4">
        <v>10</v>
      </c>
      <c r="N9" s="4">
        <f t="shared" ca="1" si="1"/>
        <v>0</v>
      </c>
    </row>
    <row r="10" spans="1:14" x14ac:dyDescent="0.25">
      <c r="A10" s="4">
        <v>9</v>
      </c>
      <c r="B10" s="4" t="s">
        <v>171</v>
      </c>
      <c r="C10" s="4" t="s">
        <v>165</v>
      </c>
      <c r="D10" s="4" t="s">
        <v>164</v>
      </c>
      <c r="E10" s="4" t="s">
        <v>169</v>
      </c>
      <c r="F10" s="4" t="s">
        <v>167</v>
      </c>
      <c r="G10" s="4" t="s">
        <v>167</v>
      </c>
      <c r="H10" s="4">
        <f t="shared" ca="1" si="0"/>
        <v>3</v>
      </c>
      <c r="I10" s="4" t="s">
        <v>178</v>
      </c>
      <c r="J10" s="4" t="s">
        <v>169</v>
      </c>
      <c r="K10" s="4" t="s">
        <v>169</v>
      </c>
      <c r="L10" s="4" t="s">
        <v>170</v>
      </c>
      <c r="M10" s="4">
        <v>7</v>
      </c>
      <c r="N10" s="4">
        <v>3</v>
      </c>
    </row>
    <row r="11" spans="1:14" x14ac:dyDescent="0.25">
      <c r="A11" s="4">
        <v>10</v>
      </c>
      <c r="B11" s="4" t="s">
        <v>164</v>
      </c>
      <c r="C11" s="4" t="s">
        <v>169</v>
      </c>
      <c r="D11" s="4" t="s">
        <v>172</v>
      </c>
      <c r="E11" s="4" t="s">
        <v>165</v>
      </c>
      <c r="F11" s="4" t="s">
        <v>173</v>
      </c>
      <c r="G11" s="4" t="s">
        <v>173</v>
      </c>
      <c r="H11" s="4">
        <f t="shared" ca="1" si="0"/>
        <v>0</v>
      </c>
      <c r="I11" s="4">
        <v>1</v>
      </c>
      <c r="J11" s="4" t="s">
        <v>169</v>
      </c>
      <c r="K11" s="4" t="s">
        <v>169</v>
      </c>
      <c r="L11" s="4" t="s">
        <v>174</v>
      </c>
      <c r="M11" s="4">
        <v>5</v>
      </c>
      <c r="N11" s="4">
        <f t="shared" ca="1" si="1"/>
        <v>1</v>
      </c>
    </row>
    <row r="12" spans="1:14" x14ac:dyDescent="0.25">
      <c r="A12" s="4">
        <v>11</v>
      </c>
      <c r="B12" s="4" t="s">
        <v>164</v>
      </c>
      <c r="C12" s="4" t="s">
        <v>165</v>
      </c>
      <c r="D12" s="4" t="s">
        <v>179</v>
      </c>
      <c r="E12" s="4" t="s">
        <v>165</v>
      </c>
      <c r="F12" s="4" t="s">
        <v>167</v>
      </c>
      <c r="G12" s="4" t="s">
        <v>168</v>
      </c>
      <c r="H12" s="4">
        <f t="shared" ca="1" si="0"/>
        <v>0</v>
      </c>
      <c r="I12" s="4">
        <v>0</v>
      </c>
      <c r="J12" s="4" t="s">
        <v>169</v>
      </c>
      <c r="K12" s="4" t="s">
        <v>169</v>
      </c>
      <c r="L12" s="4" t="s">
        <v>174</v>
      </c>
      <c r="M12" s="4">
        <v>12</v>
      </c>
      <c r="N12" s="4">
        <f t="shared" ca="1" si="1"/>
        <v>2</v>
      </c>
    </row>
    <row r="13" spans="1:14" x14ac:dyDescent="0.25">
      <c r="A13" s="4">
        <v>12</v>
      </c>
      <c r="B13" s="4" t="s">
        <v>171</v>
      </c>
      <c r="C13" s="4" t="s">
        <v>169</v>
      </c>
      <c r="D13" s="4" t="s">
        <v>172</v>
      </c>
      <c r="E13" s="4" t="s">
        <v>165</v>
      </c>
      <c r="F13" s="4" t="s">
        <v>173</v>
      </c>
      <c r="G13" s="4" t="s">
        <v>173</v>
      </c>
      <c r="H13" s="4">
        <f t="shared" ca="1" si="0"/>
        <v>3</v>
      </c>
      <c r="I13" s="4">
        <v>2</v>
      </c>
      <c r="J13" s="4" t="s">
        <v>165</v>
      </c>
      <c r="K13" s="4" t="s">
        <v>169</v>
      </c>
      <c r="L13" s="4" t="s">
        <v>176</v>
      </c>
      <c r="M13" s="4">
        <v>3</v>
      </c>
      <c r="N13" s="4">
        <f t="shared" ca="1" si="1"/>
        <v>1</v>
      </c>
    </row>
    <row r="14" spans="1:14" x14ac:dyDescent="0.25">
      <c r="A14" s="4">
        <v>13</v>
      </c>
      <c r="B14" s="4" t="s">
        <v>164</v>
      </c>
      <c r="C14" s="4" t="s">
        <v>169</v>
      </c>
      <c r="D14" s="4" t="s">
        <v>179</v>
      </c>
      <c r="E14" s="4" t="s">
        <v>169</v>
      </c>
      <c r="F14" s="4" t="s">
        <v>176</v>
      </c>
      <c r="G14" s="4" t="s">
        <v>177</v>
      </c>
      <c r="H14" s="4">
        <f t="shared" ca="1" si="0"/>
        <v>2</v>
      </c>
      <c r="I14" s="4">
        <v>2</v>
      </c>
      <c r="J14" s="4" t="s">
        <v>165</v>
      </c>
      <c r="K14" s="4" t="s">
        <v>165</v>
      </c>
      <c r="L14" s="4" t="s">
        <v>176</v>
      </c>
      <c r="M14" s="4">
        <v>12</v>
      </c>
      <c r="N14" s="4">
        <f t="shared" ca="1" si="1"/>
        <v>1</v>
      </c>
    </row>
    <row r="15" spans="1:14" x14ac:dyDescent="0.25">
      <c r="A15" s="4">
        <v>14</v>
      </c>
      <c r="B15" s="4" t="s">
        <v>164</v>
      </c>
      <c r="C15" s="4" t="s">
        <v>165</v>
      </c>
      <c r="D15" s="4" t="s">
        <v>164</v>
      </c>
      <c r="E15" s="4" t="s">
        <v>165</v>
      </c>
      <c r="F15" s="4" t="s">
        <v>167</v>
      </c>
      <c r="G15" s="4" t="s">
        <v>167</v>
      </c>
      <c r="H15" s="4">
        <f t="shared" ca="1" si="0"/>
        <v>0</v>
      </c>
      <c r="I15" s="4">
        <v>0</v>
      </c>
      <c r="J15" s="4" t="s">
        <v>169</v>
      </c>
      <c r="K15" s="4" t="s">
        <v>169</v>
      </c>
      <c r="L15" s="4" t="s">
        <v>176</v>
      </c>
      <c r="M15" s="4">
        <v>6</v>
      </c>
      <c r="N15" s="4">
        <f t="shared" ca="1" si="1"/>
        <v>0</v>
      </c>
    </row>
    <row r="16" spans="1:14" x14ac:dyDescent="0.25">
      <c r="A16" s="4">
        <v>15</v>
      </c>
      <c r="B16" s="4" t="s">
        <v>171</v>
      </c>
      <c r="C16" s="4" t="s">
        <v>165</v>
      </c>
      <c r="D16" s="4" t="s">
        <v>179</v>
      </c>
      <c r="E16" s="4" t="s">
        <v>165</v>
      </c>
      <c r="F16" s="4" t="s">
        <v>173</v>
      </c>
      <c r="G16" s="4" t="s">
        <v>173</v>
      </c>
      <c r="H16" s="4">
        <f t="shared" ca="1" si="0"/>
        <v>0</v>
      </c>
      <c r="I16" s="4">
        <v>1</v>
      </c>
      <c r="J16" s="4" t="s">
        <v>165</v>
      </c>
      <c r="K16" s="4" t="s">
        <v>169</v>
      </c>
      <c r="L16" s="4" t="s">
        <v>174</v>
      </c>
      <c r="M16" s="4">
        <v>6</v>
      </c>
      <c r="N16" s="4">
        <f t="shared" ca="1" si="1"/>
        <v>0</v>
      </c>
    </row>
    <row r="17" spans="1:14" x14ac:dyDescent="0.25">
      <c r="A17" s="4">
        <v>16</v>
      </c>
      <c r="B17" s="4" t="s">
        <v>175</v>
      </c>
      <c r="C17" s="4" t="s">
        <v>169</v>
      </c>
      <c r="D17" s="4" t="s">
        <v>172</v>
      </c>
      <c r="E17" s="4" t="s">
        <v>169</v>
      </c>
      <c r="F17" s="4" t="s">
        <v>173</v>
      </c>
      <c r="G17" s="4" t="s">
        <v>173</v>
      </c>
      <c r="H17" s="4">
        <f t="shared" ca="1" si="0"/>
        <v>2</v>
      </c>
      <c r="I17" s="4" t="s">
        <v>178</v>
      </c>
      <c r="J17" s="4" t="s">
        <v>169</v>
      </c>
      <c r="K17" s="4" t="s">
        <v>165</v>
      </c>
      <c r="L17" s="4" t="s">
        <v>170</v>
      </c>
      <c r="M17" s="4">
        <v>11</v>
      </c>
      <c r="N17" s="4">
        <f t="shared" ca="1" si="1"/>
        <v>1</v>
      </c>
    </row>
    <row r="18" spans="1:14" x14ac:dyDescent="0.25">
      <c r="A18" s="4">
        <v>17</v>
      </c>
      <c r="B18" s="4" t="s">
        <v>171</v>
      </c>
      <c r="C18" s="4" t="s">
        <v>169</v>
      </c>
      <c r="D18" s="4" t="s">
        <v>166</v>
      </c>
      <c r="E18" s="4" t="s">
        <v>169</v>
      </c>
      <c r="F18" s="4" t="s">
        <v>176</v>
      </c>
      <c r="G18" s="4" t="s">
        <v>168</v>
      </c>
      <c r="H18" s="4">
        <f t="shared" ca="1" si="0"/>
        <v>0</v>
      </c>
      <c r="I18" s="4">
        <v>2</v>
      </c>
      <c r="J18" s="4" t="s">
        <v>169</v>
      </c>
      <c r="K18" s="4" t="s">
        <v>169</v>
      </c>
      <c r="L18" s="4" t="s">
        <v>176</v>
      </c>
      <c r="M18" s="4">
        <v>7</v>
      </c>
      <c r="N18" s="4">
        <f t="shared" ca="1" si="1"/>
        <v>0</v>
      </c>
    </row>
    <row r="19" spans="1:14" x14ac:dyDescent="0.25">
      <c r="A19" s="4">
        <v>18</v>
      </c>
      <c r="B19" s="4" t="s">
        <v>164</v>
      </c>
      <c r="C19" s="4" t="s">
        <v>169</v>
      </c>
      <c r="D19" s="4" t="s">
        <v>164</v>
      </c>
      <c r="E19" s="4" t="s">
        <v>165</v>
      </c>
      <c r="F19" s="4" t="s">
        <v>173</v>
      </c>
      <c r="G19" s="4" t="s">
        <v>173</v>
      </c>
      <c r="H19" s="4">
        <f t="shared" ca="1" si="0"/>
        <v>2</v>
      </c>
      <c r="I19" s="4">
        <v>1</v>
      </c>
      <c r="J19" s="4" t="s">
        <v>165</v>
      </c>
      <c r="K19" s="4" t="s">
        <v>169</v>
      </c>
      <c r="L19" s="4" t="s">
        <v>174</v>
      </c>
      <c r="M19" s="4">
        <v>11</v>
      </c>
      <c r="N19" s="4">
        <f t="shared" ca="1" si="1"/>
        <v>0</v>
      </c>
    </row>
    <row r="20" spans="1:14" x14ac:dyDescent="0.25">
      <c r="A20" s="4">
        <v>19</v>
      </c>
      <c r="B20" s="4" t="s">
        <v>171</v>
      </c>
      <c r="C20" s="4" t="s">
        <v>169</v>
      </c>
      <c r="D20" s="4" t="s">
        <v>220</v>
      </c>
      <c r="E20" s="4" t="s">
        <v>169</v>
      </c>
      <c r="F20" s="4" t="s">
        <v>167</v>
      </c>
      <c r="G20" s="4" t="s">
        <v>167</v>
      </c>
      <c r="H20" s="4">
        <f t="shared" ca="1" si="0"/>
        <v>2</v>
      </c>
      <c r="I20" s="4" t="s">
        <v>178</v>
      </c>
      <c r="J20" s="4" t="s">
        <v>165</v>
      </c>
      <c r="K20" s="4" t="s">
        <v>165</v>
      </c>
      <c r="L20" s="4" t="s">
        <v>170</v>
      </c>
      <c r="M20" s="4">
        <v>7</v>
      </c>
      <c r="N20" s="4">
        <f t="shared" ca="1" si="1"/>
        <v>2</v>
      </c>
    </row>
    <row r="21" spans="1:14" x14ac:dyDescent="0.25">
      <c r="A21" s="4">
        <v>20</v>
      </c>
      <c r="B21" s="4" t="s">
        <v>180</v>
      </c>
      <c r="C21" s="4" t="s">
        <v>165</v>
      </c>
      <c r="D21" s="4" t="s">
        <v>164</v>
      </c>
      <c r="E21" s="4" t="s">
        <v>169</v>
      </c>
      <c r="F21" s="4" t="s">
        <v>173</v>
      </c>
      <c r="G21" s="4" t="s">
        <v>173</v>
      </c>
      <c r="H21" s="4">
        <f t="shared" ca="1" si="0"/>
        <v>1</v>
      </c>
      <c r="I21" s="4">
        <v>0</v>
      </c>
      <c r="J21" s="4" t="s">
        <v>165</v>
      </c>
      <c r="K21" s="4" t="s">
        <v>169</v>
      </c>
      <c r="L21" s="4" t="s">
        <v>174</v>
      </c>
      <c r="M21" s="4">
        <v>10</v>
      </c>
      <c r="N21" s="4">
        <f t="shared" ca="1" si="1"/>
        <v>2</v>
      </c>
    </row>
    <row r="22" spans="1:14" x14ac:dyDescent="0.25">
      <c r="A22" s="4">
        <v>21</v>
      </c>
      <c r="B22" s="4" t="s">
        <v>171</v>
      </c>
      <c r="C22" s="4" t="s">
        <v>169</v>
      </c>
      <c r="D22" s="4" t="s">
        <v>179</v>
      </c>
      <c r="E22" s="4" t="s">
        <v>169</v>
      </c>
      <c r="F22" s="4" t="s">
        <v>176</v>
      </c>
      <c r="G22" s="4" t="s">
        <v>177</v>
      </c>
      <c r="H22" s="4">
        <f t="shared" ca="1" si="0"/>
        <v>1</v>
      </c>
      <c r="I22" s="4">
        <v>1</v>
      </c>
      <c r="J22" s="4" t="s">
        <v>165</v>
      </c>
      <c r="K22" s="4" t="s">
        <v>169</v>
      </c>
      <c r="L22" s="4" t="s">
        <v>176</v>
      </c>
      <c r="M22" s="4">
        <v>2</v>
      </c>
      <c r="N22" s="4">
        <f t="shared" ca="1" si="1"/>
        <v>1</v>
      </c>
    </row>
    <row r="23" spans="1:14" x14ac:dyDescent="0.25">
      <c r="A23" s="4">
        <v>22</v>
      </c>
      <c r="B23" s="4" t="s">
        <v>180</v>
      </c>
      <c r="C23" s="4" t="s">
        <v>169</v>
      </c>
      <c r="D23" s="4" t="s">
        <v>166</v>
      </c>
      <c r="E23" s="4" t="s">
        <v>165</v>
      </c>
      <c r="F23" s="4" t="s">
        <v>167</v>
      </c>
      <c r="G23" s="4" t="s">
        <v>167</v>
      </c>
      <c r="H23" s="4">
        <f t="shared" ca="1" si="0"/>
        <v>2</v>
      </c>
      <c r="I23" s="4" t="s">
        <v>178</v>
      </c>
      <c r="J23" s="4" t="s">
        <v>169</v>
      </c>
      <c r="K23" s="4" t="s">
        <v>169</v>
      </c>
      <c r="L23" s="4" t="s">
        <v>176</v>
      </c>
      <c r="M23" s="4">
        <v>5</v>
      </c>
      <c r="N23" s="4">
        <f t="shared" ca="1" si="1"/>
        <v>0</v>
      </c>
    </row>
    <row r="24" spans="1:14" x14ac:dyDescent="0.25">
      <c r="A24" s="4">
        <v>23</v>
      </c>
      <c r="B24" s="4" t="s">
        <v>180</v>
      </c>
      <c r="C24" s="4" t="s">
        <v>169</v>
      </c>
      <c r="D24" s="4" t="s">
        <v>179</v>
      </c>
      <c r="E24" s="4" t="s">
        <v>169</v>
      </c>
      <c r="F24" s="4" t="s">
        <v>167</v>
      </c>
      <c r="G24" s="4" t="s">
        <v>168</v>
      </c>
      <c r="H24" s="4">
        <f t="shared" ca="1" si="0"/>
        <v>3</v>
      </c>
      <c r="I24" s="4">
        <v>1</v>
      </c>
      <c r="J24" s="4" t="s">
        <v>165</v>
      </c>
      <c r="K24" s="4" t="s">
        <v>165</v>
      </c>
      <c r="L24" s="4" t="s">
        <v>174</v>
      </c>
      <c r="M24" s="4">
        <v>8</v>
      </c>
      <c r="N24" s="4">
        <f t="shared" ca="1" si="1"/>
        <v>2</v>
      </c>
    </row>
    <row r="25" spans="1:14" x14ac:dyDescent="0.25">
      <c r="A25" s="4">
        <v>24</v>
      </c>
      <c r="B25" s="4" t="s">
        <v>175</v>
      </c>
      <c r="C25" s="4" t="s">
        <v>165</v>
      </c>
      <c r="D25" s="4" t="s">
        <v>164</v>
      </c>
      <c r="E25" s="4" t="s">
        <v>169</v>
      </c>
      <c r="F25" s="4" t="s">
        <v>176</v>
      </c>
      <c r="G25" s="4" t="s">
        <v>167</v>
      </c>
      <c r="H25" s="4">
        <f t="shared" ca="1" si="0"/>
        <v>0</v>
      </c>
      <c r="I25" s="4">
        <v>0</v>
      </c>
      <c r="J25" s="4" t="s">
        <v>165</v>
      </c>
      <c r="K25" s="4" t="s">
        <v>169</v>
      </c>
      <c r="L25" s="4" t="s">
        <v>174</v>
      </c>
      <c r="M25" s="4">
        <v>2</v>
      </c>
      <c r="N25" s="4">
        <f t="shared" ca="1" si="1"/>
        <v>2</v>
      </c>
    </row>
    <row r="26" spans="1:14" x14ac:dyDescent="0.25">
      <c r="A26" s="4">
        <v>25</v>
      </c>
      <c r="B26" s="4" t="s">
        <v>164</v>
      </c>
      <c r="C26" s="4" t="s">
        <v>169</v>
      </c>
      <c r="D26" s="4" t="s">
        <v>179</v>
      </c>
      <c r="E26" s="4" t="s">
        <v>165</v>
      </c>
      <c r="F26" s="4" t="s">
        <v>167</v>
      </c>
      <c r="G26" s="4" t="s">
        <v>167</v>
      </c>
      <c r="H26" s="4">
        <f t="shared" ca="1" si="0"/>
        <v>0</v>
      </c>
      <c r="I26" s="4" t="s">
        <v>178</v>
      </c>
      <c r="J26" s="4" t="s">
        <v>169</v>
      </c>
      <c r="K26" s="4" t="s">
        <v>165</v>
      </c>
      <c r="L26" s="4" t="s">
        <v>176</v>
      </c>
      <c r="M26" s="4">
        <v>8</v>
      </c>
      <c r="N26" s="4">
        <f t="shared" ca="1" si="1"/>
        <v>1</v>
      </c>
    </row>
    <row r="27" spans="1:14" x14ac:dyDescent="0.25">
      <c r="A27" s="4">
        <v>26</v>
      </c>
      <c r="B27" s="4" t="s">
        <v>164</v>
      </c>
      <c r="C27" s="4" t="s">
        <v>165</v>
      </c>
      <c r="D27" s="4" t="s">
        <v>220</v>
      </c>
      <c r="E27" s="4" t="s">
        <v>165</v>
      </c>
      <c r="F27" s="4" t="s">
        <v>167</v>
      </c>
      <c r="G27" s="4" t="s">
        <v>181</v>
      </c>
      <c r="H27" s="4">
        <f t="shared" ca="1" si="0"/>
        <v>2</v>
      </c>
      <c r="I27" s="4">
        <v>2</v>
      </c>
      <c r="J27" s="4" t="s">
        <v>169</v>
      </c>
      <c r="K27" s="4" t="s">
        <v>165</v>
      </c>
      <c r="L27" s="4" t="s">
        <v>174</v>
      </c>
      <c r="M27" s="4">
        <v>10</v>
      </c>
      <c r="N27" s="4">
        <f t="shared" ca="1" si="1"/>
        <v>1</v>
      </c>
    </row>
    <row r="28" spans="1:14" x14ac:dyDescent="0.25">
      <c r="A28" s="4">
        <v>27</v>
      </c>
      <c r="B28" s="4" t="s">
        <v>164</v>
      </c>
      <c r="C28" s="4" t="s">
        <v>165</v>
      </c>
      <c r="D28" s="4" t="s">
        <v>179</v>
      </c>
      <c r="E28" s="4" t="s">
        <v>169</v>
      </c>
      <c r="F28" s="4" t="s">
        <v>176</v>
      </c>
      <c r="G28" s="4" t="s">
        <v>168</v>
      </c>
      <c r="H28" s="4">
        <f t="shared" ca="1" si="0"/>
        <v>3</v>
      </c>
      <c r="I28" s="4">
        <v>1</v>
      </c>
      <c r="J28" s="4" t="s">
        <v>165</v>
      </c>
      <c r="K28" s="4" t="s">
        <v>165</v>
      </c>
      <c r="L28" s="4" t="s">
        <v>176</v>
      </c>
      <c r="M28" s="4">
        <v>12</v>
      </c>
      <c r="N28" s="4">
        <f t="shared" ca="1" si="1"/>
        <v>1</v>
      </c>
    </row>
    <row r="29" spans="1:14" x14ac:dyDescent="0.25">
      <c r="A29" s="4">
        <v>28</v>
      </c>
      <c r="B29" s="4" t="s">
        <v>171</v>
      </c>
      <c r="C29" s="4" t="s">
        <v>165</v>
      </c>
      <c r="D29" s="4" t="s">
        <v>166</v>
      </c>
      <c r="E29" s="4" t="s">
        <v>165</v>
      </c>
      <c r="F29" s="4" t="s">
        <v>167</v>
      </c>
      <c r="G29" s="4" t="s">
        <v>168</v>
      </c>
      <c r="H29" s="4">
        <f t="shared" ca="1" si="0"/>
        <v>0</v>
      </c>
      <c r="I29" s="4" t="s">
        <v>178</v>
      </c>
      <c r="J29" s="4" t="s">
        <v>169</v>
      </c>
      <c r="K29" s="4" t="s">
        <v>169</v>
      </c>
      <c r="L29" s="4" t="s">
        <v>176</v>
      </c>
      <c r="M29" s="4">
        <v>4</v>
      </c>
      <c r="N29" s="4">
        <f t="shared" ca="1" si="1"/>
        <v>0</v>
      </c>
    </row>
    <row r="30" spans="1:14" x14ac:dyDescent="0.25">
      <c r="A30" s="4">
        <v>29</v>
      </c>
      <c r="B30" s="4" t="s">
        <v>164</v>
      </c>
      <c r="C30" s="4" t="s">
        <v>165</v>
      </c>
      <c r="D30" s="4" t="s">
        <v>164</v>
      </c>
      <c r="E30" s="4" t="s">
        <v>165</v>
      </c>
      <c r="F30" s="4" t="s">
        <v>167</v>
      </c>
      <c r="G30" s="4" t="s">
        <v>167</v>
      </c>
      <c r="H30" s="4">
        <f t="shared" ca="1" si="0"/>
        <v>0</v>
      </c>
      <c r="I30" s="4" t="s">
        <v>178</v>
      </c>
      <c r="J30" s="4" t="s">
        <v>165</v>
      </c>
      <c r="K30" s="4" t="s">
        <v>169</v>
      </c>
      <c r="L30" s="4" t="s">
        <v>170</v>
      </c>
      <c r="M30" s="4">
        <v>12</v>
      </c>
      <c r="N30" s="4">
        <f t="shared" ca="1" si="1"/>
        <v>2</v>
      </c>
    </row>
    <row r="31" spans="1:14" x14ac:dyDescent="0.25">
      <c r="A31" s="4">
        <v>30</v>
      </c>
      <c r="B31" s="4" t="s">
        <v>164</v>
      </c>
      <c r="C31" s="4" t="s">
        <v>165</v>
      </c>
      <c r="D31" s="4" t="s">
        <v>164</v>
      </c>
      <c r="E31" s="4" t="s">
        <v>169</v>
      </c>
      <c r="F31" s="4" t="s">
        <v>167</v>
      </c>
      <c r="G31" s="4" t="s">
        <v>177</v>
      </c>
      <c r="H31" s="4">
        <f t="shared" ca="1" si="0"/>
        <v>2</v>
      </c>
      <c r="I31" s="4" t="s">
        <v>178</v>
      </c>
      <c r="J31" s="4" t="s">
        <v>165</v>
      </c>
      <c r="K31" s="4" t="s">
        <v>165</v>
      </c>
      <c r="L31" s="4" t="s">
        <v>174</v>
      </c>
      <c r="M31" s="4">
        <v>3</v>
      </c>
      <c r="N31" s="4">
        <f t="shared" ca="1" si="1"/>
        <v>1</v>
      </c>
    </row>
    <row r="32" spans="1:14" x14ac:dyDescent="0.25">
      <c r="A32" s="4">
        <v>31</v>
      </c>
      <c r="B32" s="4" t="s">
        <v>180</v>
      </c>
      <c r="C32" s="4" t="s">
        <v>165</v>
      </c>
      <c r="D32" s="4" t="s">
        <v>179</v>
      </c>
      <c r="E32" s="4" t="s">
        <v>169</v>
      </c>
      <c r="F32" s="4" t="s">
        <v>167</v>
      </c>
      <c r="G32" s="4" t="s">
        <v>167</v>
      </c>
      <c r="H32" s="4">
        <f t="shared" ca="1" si="0"/>
        <v>3</v>
      </c>
      <c r="I32" s="4">
        <v>1</v>
      </c>
      <c r="J32" s="4" t="s">
        <v>165</v>
      </c>
      <c r="K32" s="4" t="s">
        <v>169</v>
      </c>
      <c r="L32" s="4" t="s">
        <v>174</v>
      </c>
      <c r="M32" s="4">
        <v>8</v>
      </c>
      <c r="N32" s="4">
        <f t="shared" ca="1" si="1"/>
        <v>0</v>
      </c>
    </row>
    <row r="33" spans="1:14" x14ac:dyDescent="0.25">
      <c r="A33" s="4">
        <v>32</v>
      </c>
      <c r="B33" s="4" t="s">
        <v>180</v>
      </c>
      <c r="C33" s="4" t="s">
        <v>165</v>
      </c>
      <c r="D33" s="4" t="s">
        <v>172</v>
      </c>
      <c r="E33" s="4" t="s">
        <v>169</v>
      </c>
      <c r="F33" s="4" t="s">
        <v>173</v>
      </c>
      <c r="G33" s="4" t="s">
        <v>173</v>
      </c>
      <c r="H33" s="4">
        <f t="shared" ca="1" si="0"/>
        <v>2</v>
      </c>
      <c r="I33" s="4" t="s">
        <v>178</v>
      </c>
      <c r="J33" s="4" t="s">
        <v>165</v>
      </c>
      <c r="K33" s="4" t="s">
        <v>169</v>
      </c>
      <c r="L33" s="4" t="s">
        <v>174</v>
      </c>
      <c r="M33" s="4">
        <v>12</v>
      </c>
      <c r="N33" s="4">
        <f t="shared" ca="1" si="1"/>
        <v>2</v>
      </c>
    </row>
    <row r="34" spans="1:14" x14ac:dyDescent="0.25">
      <c r="A34" s="4">
        <v>33</v>
      </c>
      <c r="B34" s="4" t="s">
        <v>175</v>
      </c>
      <c r="C34" s="4" t="s">
        <v>169</v>
      </c>
      <c r="D34" s="4" t="s">
        <v>179</v>
      </c>
      <c r="E34" s="4" t="s">
        <v>169</v>
      </c>
      <c r="F34" s="4" t="s">
        <v>173</v>
      </c>
      <c r="G34" s="4" t="s">
        <v>173</v>
      </c>
      <c r="H34" s="4">
        <f t="shared" ca="1" si="0"/>
        <v>2</v>
      </c>
      <c r="I34" s="4" t="s">
        <v>178</v>
      </c>
      <c r="J34" s="4" t="s">
        <v>165</v>
      </c>
      <c r="K34" s="4" t="s">
        <v>165</v>
      </c>
      <c r="L34" s="4" t="s">
        <v>176</v>
      </c>
      <c r="M34" s="4">
        <v>2</v>
      </c>
      <c r="N34" s="4">
        <f t="shared" ca="1" si="1"/>
        <v>2</v>
      </c>
    </row>
    <row r="35" spans="1:14" x14ac:dyDescent="0.25">
      <c r="A35" s="4">
        <v>34</v>
      </c>
      <c r="B35" s="4" t="s">
        <v>175</v>
      </c>
      <c r="C35" s="4" t="s">
        <v>169</v>
      </c>
      <c r="D35" s="4" t="s">
        <v>179</v>
      </c>
      <c r="E35" s="4" t="s">
        <v>169</v>
      </c>
      <c r="F35" s="4" t="s">
        <v>176</v>
      </c>
      <c r="G35" s="4" t="s">
        <v>181</v>
      </c>
      <c r="H35" s="4">
        <f t="shared" ca="1" si="0"/>
        <v>3</v>
      </c>
      <c r="I35" s="4">
        <v>1</v>
      </c>
      <c r="J35" s="4" t="s">
        <v>169</v>
      </c>
      <c r="K35" s="4" t="s">
        <v>169</v>
      </c>
      <c r="L35" s="4" t="s">
        <v>176</v>
      </c>
      <c r="M35" s="4">
        <v>2</v>
      </c>
      <c r="N35" s="4">
        <f t="shared" ca="1" si="1"/>
        <v>0</v>
      </c>
    </row>
    <row r="36" spans="1:14" x14ac:dyDescent="0.25">
      <c r="A36" s="4">
        <v>35</v>
      </c>
      <c r="B36" s="4" t="s">
        <v>180</v>
      </c>
      <c r="C36" s="4" t="s">
        <v>169</v>
      </c>
      <c r="D36" s="4" t="s">
        <v>164</v>
      </c>
      <c r="E36" s="4" t="s">
        <v>165</v>
      </c>
      <c r="F36" s="4" t="s">
        <v>176</v>
      </c>
      <c r="G36" s="4" t="s">
        <v>177</v>
      </c>
      <c r="H36" s="4">
        <f t="shared" ca="1" si="0"/>
        <v>1</v>
      </c>
      <c r="I36" s="4">
        <v>1</v>
      </c>
      <c r="J36" s="4" t="s">
        <v>165</v>
      </c>
      <c r="K36" s="4" t="s">
        <v>165</v>
      </c>
      <c r="L36" s="4" t="s">
        <v>170</v>
      </c>
      <c r="M36" s="4">
        <v>10</v>
      </c>
      <c r="N36" s="4">
        <f t="shared" ca="1" si="1"/>
        <v>1</v>
      </c>
    </row>
    <row r="37" spans="1:14" x14ac:dyDescent="0.25">
      <c r="A37" s="4">
        <v>36</v>
      </c>
      <c r="B37" s="4" t="s">
        <v>164</v>
      </c>
      <c r="C37" s="4" t="s">
        <v>169</v>
      </c>
      <c r="D37" s="4" t="s">
        <v>166</v>
      </c>
      <c r="E37" s="4" t="s">
        <v>169</v>
      </c>
      <c r="F37" s="4" t="s">
        <v>167</v>
      </c>
      <c r="G37" s="4" t="s">
        <v>181</v>
      </c>
      <c r="H37" s="4">
        <f t="shared" ca="1" si="0"/>
        <v>3</v>
      </c>
      <c r="I37" s="4">
        <v>0</v>
      </c>
      <c r="J37" s="4" t="s">
        <v>169</v>
      </c>
      <c r="K37" s="4" t="s">
        <v>165</v>
      </c>
      <c r="L37" s="4" t="s">
        <v>176</v>
      </c>
      <c r="M37" s="4">
        <v>2</v>
      </c>
      <c r="N37" s="4">
        <f t="shared" ca="1" si="1"/>
        <v>2</v>
      </c>
    </row>
    <row r="38" spans="1:14" x14ac:dyDescent="0.25">
      <c r="A38" s="4">
        <v>37</v>
      </c>
      <c r="B38" s="4" t="s">
        <v>164</v>
      </c>
      <c r="C38" s="4" t="s">
        <v>169</v>
      </c>
      <c r="D38" s="4" t="s">
        <v>164</v>
      </c>
      <c r="E38" s="4" t="s">
        <v>165</v>
      </c>
      <c r="F38" s="4" t="s">
        <v>173</v>
      </c>
      <c r="G38" s="4" t="s">
        <v>173</v>
      </c>
      <c r="H38" s="4">
        <f t="shared" ca="1" si="0"/>
        <v>1</v>
      </c>
      <c r="I38" s="4">
        <v>0</v>
      </c>
      <c r="J38" s="4" t="s">
        <v>169</v>
      </c>
      <c r="K38" s="4" t="s">
        <v>165</v>
      </c>
      <c r="L38" s="4" t="s">
        <v>176</v>
      </c>
      <c r="M38" s="4">
        <v>4</v>
      </c>
      <c r="N38" s="4">
        <f t="shared" ca="1" si="1"/>
        <v>2</v>
      </c>
    </row>
    <row r="39" spans="1:14" x14ac:dyDescent="0.25">
      <c r="A39" s="4">
        <v>38</v>
      </c>
      <c r="B39" s="4" t="s">
        <v>180</v>
      </c>
      <c r="C39" s="4" t="s">
        <v>169</v>
      </c>
      <c r="D39" s="4" t="s">
        <v>179</v>
      </c>
      <c r="E39" s="4" t="s">
        <v>169</v>
      </c>
      <c r="F39" s="4" t="s">
        <v>176</v>
      </c>
      <c r="G39" s="4" t="s">
        <v>181</v>
      </c>
      <c r="H39" s="4">
        <f t="shared" ca="1" si="0"/>
        <v>3</v>
      </c>
      <c r="I39" s="4" t="s">
        <v>178</v>
      </c>
      <c r="J39" s="4" t="s">
        <v>165</v>
      </c>
      <c r="K39" s="4" t="s">
        <v>165</v>
      </c>
      <c r="L39" s="4" t="s">
        <v>176</v>
      </c>
      <c r="M39" s="4">
        <v>9</v>
      </c>
      <c r="N39" s="4">
        <f t="shared" ca="1" si="1"/>
        <v>0</v>
      </c>
    </row>
    <row r="40" spans="1:14" x14ac:dyDescent="0.25">
      <c r="A40" s="4">
        <v>39</v>
      </c>
      <c r="B40" s="4" t="s">
        <v>180</v>
      </c>
      <c r="C40" s="4" t="s">
        <v>169</v>
      </c>
      <c r="D40" s="4" t="s">
        <v>179</v>
      </c>
      <c r="E40" s="4" t="s">
        <v>169</v>
      </c>
      <c r="F40" s="4" t="s">
        <v>167</v>
      </c>
      <c r="G40" s="4" t="s">
        <v>167</v>
      </c>
      <c r="H40" s="4">
        <f t="shared" ca="1" si="0"/>
        <v>3</v>
      </c>
      <c r="I40" s="4">
        <v>2</v>
      </c>
      <c r="J40" s="4" t="s">
        <v>169</v>
      </c>
      <c r="K40" s="4" t="s">
        <v>165</v>
      </c>
      <c r="L40" s="4" t="s">
        <v>170</v>
      </c>
      <c r="M40" s="4">
        <v>9</v>
      </c>
      <c r="N40" s="4">
        <f t="shared" ca="1" si="1"/>
        <v>0</v>
      </c>
    </row>
    <row r="41" spans="1:14" x14ac:dyDescent="0.25">
      <c r="A41" s="4">
        <v>40</v>
      </c>
      <c r="B41" s="4" t="s">
        <v>164</v>
      </c>
      <c r="C41" s="4" t="s">
        <v>165</v>
      </c>
      <c r="D41" s="4" t="s">
        <v>172</v>
      </c>
      <c r="E41" s="4" t="s">
        <v>169</v>
      </c>
      <c r="F41" s="4" t="s">
        <v>173</v>
      </c>
      <c r="G41" s="4" t="s">
        <v>173</v>
      </c>
      <c r="H41" s="4">
        <f t="shared" ca="1" si="0"/>
        <v>2</v>
      </c>
      <c r="I41" s="4">
        <v>2</v>
      </c>
      <c r="J41" s="4" t="s">
        <v>165</v>
      </c>
      <c r="K41" s="4" t="s">
        <v>169</v>
      </c>
      <c r="L41" s="4" t="s">
        <v>176</v>
      </c>
      <c r="M41" s="4">
        <v>4</v>
      </c>
      <c r="N41" s="4">
        <f t="shared" ca="1" si="1"/>
        <v>1</v>
      </c>
    </row>
    <row r="42" spans="1:14" x14ac:dyDescent="0.25">
      <c r="A42" s="4">
        <v>41</v>
      </c>
      <c r="B42" s="4" t="s">
        <v>171</v>
      </c>
      <c r="C42" s="4" t="s">
        <v>169</v>
      </c>
      <c r="D42" s="4" t="s">
        <v>164</v>
      </c>
      <c r="E42" s="4" t="s">
        <v>165</v>
      </c>
      <c r="F42" s="4" t="s">
        <v>176</v>
      </c>
      <c r="G42" s="4" t="s">
        <v>167</v>
      </c>
      <c r="H42" s="4">
        <f t="shared" ca="1" si="0"/>
        <v>2</v>
      </c>
      <c r="I42" s="4">
        <v>0</v>
      </c>
      <c r="J42" s="4" t="s">
        <v>165</v>
      </c>
      <c r="K42" s="4" t="s">
        <v>165</v>
      </c>
      <c r="L42" s="4" t="s">
        <v>174</v>
      </c>
      <c r="M42" s="4">
        <v>4</v>
      </c>
      <c r="N42" s="4">
        <f t="shared" ca="1" si="1"/>
        <v>1</v>
      </c>
    </row>
    <row r="43" spans="1:14" x14ac:dyDescent="0.25">
      <c r="A43" s="4">
        <v>42</v>
      </c>
      <c r="B43" s="4" t="s">
        <v>180</v>
      </c>
      <c r="C43" s="4" t="s">
        <v>165</v>
      </c>
      <c r="D43" s="4" t="s">
        <v>179</v>
      </c>
      <c r="E43" s="4" t="s">
        <v>165</v>
      </c>
      <c r="F43" s="4" t="s">
        <v>176</v>
      </c>
      <c r="G43" s="4" t="s">
        <v>168</v>
      </c>
      <c r="H43" s="4">
        <f t="shared" ca="1" si="0"/>
        <v>1</v>
      </c>
      <c r="I43" s="4">
        <v>0</v>
      </c>
      <c r="J43" s="4" t="s">
        <v>169</v>
      </c>
      <c r="K43" s="4" t="s">
        <v>169</v>
      </c>
      <c r="L43" s="4" t="s">
        <v>174</v>
      </c>
      <c r="M43" s="4">
        <v>2</v>
      </c>
      <c r="N43" s="4">
        <f t="shared" ca="1" si="1"/>
        <v>2</v>
      </c>
    </row>
    <row r="44" spans="1:14" x14ac:dyDescent="0.25">
      <c r="A44" s="4">
        <v>43</v>
      </c>
      <c r="B44" s="4" t="s">
        <v>180</v>
      </c>
      <c r="C44" s="4" t="s">
        <v>169</v>
      </c>
      <c r="D44" s="4" t="s">
        <v>166</v>
      </c>
      <c r="E44" s="4" t="s">
        <v>165</v>
      </c>
      <c r="F44" s="4" t="s">
        <v>167</v>
      </c>
      <c r="G44" s="4" t="s">
        <v>181</v>
      </c>
      <c r="H44" s="4">
        <f t="shared" ca="1" si="0"/>
        <v>3</v>
      </c>
      <c r="I44" s="4">
        <v>1</v>
      </c>
      <c r="J44" s="4" t="s">
        <v>165</v>
      </c>
      <c r="K44" s="4" t="s">
        <v>169</v>
      </c>
      <c r="L44" s="4" t="s">
        <v>174</v>
      </c>
      <c r="M44" s="4">
        <v>11</v>
      </c>
      <c r="N44" s="4">
        <f t="shared" ca="1" si="1"/>
        <v>2</v>
      </c>
    </row>
    <row r="45" spans="1:14" x14ac:dyDescent="0.25">
      <c r="A45" s="4">
        <v>44</v>
      </c>
      <c r="B45" s="4" t="s">
        <v>180</v>
      </c>
      <c r="C45" s="4" t="s">
        <v>165</v>
      </c>
      <c r="D45" s="4" t="s">
        <v>220</v>
      </c>
      <c r="E45" s="4" t="s">
        <v>165</v>
      </c>
      <c r="F45" s="4" t="s">
        <v>176</v>
      </c>
      <c r="G45" s="4" t="s">
        <v>168</v>
      </c>
      <c r="H45" s="4">
        <f t="shared" ca="1" si="0"/>
        <v>2</v>
      </c>
      <c r="I45" s="4">
        <v>0</v>
      </c>
      <c r="J45" s="4" t="s">
        <v>165</v>
      </c>
      <c r="K45" s="4" t="s">
        <v>169</v>
      </c>
      <c r="L45" s="4" t="s">
        <v>176</v>
      </c>
      <c r="M45" s="4">
        <v>6</v>
      </c>
      <c r="N45" s="4">
        <f t="shared" ca="1" si="1"/>
        <v>0</v>
      </c>
    </row>
    <row r="46" spans="1:14" x14ac:dyDescent="0.25">
      <c r="A46" s="4">
        <v>45</v>
      </c>
      <c r="B46" s="4" t="s">
        <v>180</v>
      </c>
      <c r="C46" s="4" t="s">
        <v>165</v>
      </c>
      <c r="D46" s="4" t="s">
        <v>166</v>
      </c>
      <c r="E46" s="4" t="s">
        <v>165</v>
      </c>
      <c r="F46" s="4" t="s">
        <v>167</v>
      </c>
      <c r="G46" s="4" t="s">
        <v>167</v>
      </c>
      <c r="H46" s="4">
        <f t="shared" ca="1" si="0"/>
        <v>3</v>
      </c>
      <c r="I46" s="4">
        <v>0</v>
      </c>
      <c r="J46" s="4" t="s">
        <v>169</v>
      </c>
      <c r="K46" s="4" t="s">
        <v>169</v>
      </c>
      <c r="L46" s="4" t="s">
        <v>170</v>
      </c>
      <c r="M46" s="4">
        <v>10</v>
      </c>
      <c r="N46" s="4">
        <f t="shared" ca="1" si="1"/>
        <v>1</v>
      </c>
    </row>
    <row r="47" spans="1:14" x14ac:dyDescent="0.25">
      <c r="A47" s="4">
        <v>46</v>
      </c>
      <c r="B47" s="4" t="s">
        <v>164</v>
      </c>
      <c r="C47" s="4" t="s">
        <v>165</v>
      </c>
      <c r="D47" s="4" t="s">
        <v>179</v>
      </c>
      <c r="E47" s="4" t="s">
        <v>169</v>
      </c>
      <c r="F47" s="4" t="s">
        <v>176</v>
      </c>
      <c r="G47" s="4" t="s">
        <v>177</v>
      </c>
      <c r="H47" s="4">
        <f t="shared" ca="1" si="0"/>
        <v>2</v>
      </c>
      <c r="I47" s="4">
        <v>1</v>
      </c>
      <c r="J47" s="4" t="s">
        <v>165</v>
      </c>
      <c r="K47" s="4" t="s">
        <v>169</v>
      </c>
      <c r="L47" s="4" t="s">
        <v>174</v>
      </c>
      <c r="M47" s="4">
        <v>3</v>
      </c>
      <c r="N47" s="4">
        <f t="shared" ca="1" si="1"/>
        <v>1</v>
      </c>
    </row>
    <row r="48" spans="1:14" x14ac:dyDescent="0.25">
      <c r="A48" s="4">
        <v>47</v>
      </c>
      <c r="B48" s="4" t="s">
        <v>171</v>
      </c>
      <c r="C48" s="4" t="s">
        <v>169</v>
      </c>
      <c r="D48" s="4" t="s">
        <v>179</v>
      </c>
      <c r="E48" s="4" t="s">
        <v>165</v>
      </c>
      <c r="F48" s="4" t="s">
        <v>173</v>
      </c>
      <c r="G48" s="4" t="s">
        <v>173</v>
      </c>
      <c r="H48" s="4">
        <f t="shared" ca="1" si="0"/>
        <v>3</v>
      </c>
      <c r="I48" s="4">
        <v>1</v>
      </c>
      <c r="J48" s="4" t="s">
        <v>165</v>
      </c>
      <c r="K48" s="4" t="s">
        <v>169</v>
      </c>
      <c r="L48" s="4" t="s">
        <v>176</v>
      </c>
      <c r="M48" s="4">
        <v>7</v>
      </c>
      <c r="N48" s="4">
        <f t="shared" ca="1" si="1"/>
        <v>0</v>
      </c>
    </row>
    <row r="49" spans="1:14" x14ac:dyDescent="0.25">
      <c r="A49" s="4">
        <v>48</v>
      </c>
      <c r="B49" s="4" t="s">
        <v>171</v>
      </c>
      <c r="C49" s="4" t="s">
        <v>165</v>
      </c>
      <c r="D49" s="4" t="s">
        <v>164</v>
      </c>
      <c r="E49" s="4" t="s">
        <v>169</v>
      </c>
      <c r="F49" s="4" t="s">
        <v>176</v>
      </c>
      <c r="G49" s="4" t="s">
        <v>168</v>
      </c>
      <c r="H49" s="4">
        <f t="shared" ca="1" si="0"/>
        <v>1</v>
      </c>
      <c r="I49" s="4">
        <v>0</v>
      </c>
      <c r="J49" s="4" t="s">
        <v>165</v>
      </c>
      <c r="K49" s="4" t="s">
        <v>165</v>
      </c>
      <c r="L49" s="4" t="s">
        <v>176</v>
      </c>
      <c r="M49" s="4">
        <v>6</v>
      </c>
      <c r="N49" s="4">
        <f t="shared" ca="1" si="1"/>
        <v>1</v>
      </c>
    </row>
    <row r="50" spans="1:14" x14ac:dyDescent="0.25">
      <c r="A50" s="4">
        <v>49</v>
      </c>
      <c r="B50" s="4" t="s">
        <v>175</v>
      </c>
      <c r="C50" s="4" t="s">
        <v>169</v>
      </c>
      <c r="D50" s="4" t="s">
        <v>172</v>
      </c>
      <c r="E50" s="4" t="s">
        <v>165</v>
      </c>
      <c r="F50" s="4" t="s">
        <v>173</v>
      </c>
      <c r="G50" s="4" t="s">
        <v>173</v>
      </c>
      <c r="H50" s="4">
        <f t="shared" ca="1" si="0"/>
        <v>0</v>
      </c>
      <c r="I50" s="4">
        <v>1</v>
      </c>
      <c r="J50" s="4" t="s">
        <v>169</v>
      </c>
      <c r="K50" s="4" t="s">
        <v>169</v>
      </c>
      <c r="L50" s="4" t="s">
        <v>176</v>
      </c>
      <c r="M50" s="4">
        <v>8</v>
      </c>
      <c r="N50" s="4">
        <f t="shared" ca="1" si="1"/>
        <v>0</v>
      </c>
    </row>
    <row r="51" spans="1:14" x14ac:dyDescent="0.25">
      <c r="A51" s="4">
        <v>50</v>
      </c>
      <c r="B51" s="4" t="s">
        <v>180</v>
      </c>
      <c r="C51" s="4" t="s">
        <v>169</v>
      </c>
      <c r="D51" s="4" t="s">
        <v>166</v>
      </c>
      <c r="E51" s="4" t="s">
        <v>165</v>
      </c>
      <c r="F51" s="4" t="s">
        <v>176</v>
      </c>
      <c r="G51" s="4" t="s">
        <v>167</v>
      </c>
      <c r="H51" s="4">
        <f t="shared" ca="1" si="0"/>
        <v>0</v>
      </c>
      <c r="I51" s="4" t="s">
        <v>178</v>
      </c>
      <c r="J51" s="4" t="s">
        <v>169</v>
      </c>
      <c r="K51" s="4" t="s">
        <v>165</v>
      </c>
      <c r="L51" s="4" t="s">
        <v>170</v>
      </c>
      <c r="M51" s="4">
        <v>10</v>
      </c>
      <c r="N51" s="4">
        <f t="shared" ca="1" si="1"/>
        <v>0</v>
      </c>
    </row>
    <row r="52" spans="1:14" x14ac:dyDescent="0.25">
      <c r="A52" s="4">
        <v>51</v>
      </c>
      <c r="B52" s="4" t="s">
        <v>180</v>
      </c>
      <c r="C52" s="4" t="s">
        <v>169</v>
      </c>
      <c r="D52" s="4" t="s">
        <v>179</v>
      </c>
      <c r="E52" s="4" t="s">
        <v>169</v>
      </c>
      <c r="F52" s="4" t="s">
        <v>176</v>
      </c>
      <c r="G52" s="4" t="s">
        <v>167</v>
      </c>
      <c r="H52" s="4">
        <f t="shared" ca="1" si="0"/>
        <v>1</v>
      </c>
      <c r="I52" s="4">
        <v>1</v>
      </c>
      <c r="J52" s="4" t="s">
        <v>169</v>
      </c>
      <c r="K52" s="4" t="s">
        <v>169</v>
      </c>
      <c r="L52" s="4" t="s">
        <v>174</v>
      </c>
      <c r="M52" s="4">
        <v>6</v>
      </c>
      <c r="N52" s="4">
        <f t="shared" ca="1" si="1"/>
        <v>1</v>
      </c>
    </row>
    <row r="53" spans="1:14" x14ac:dyDescent="0.25">
      <c r="A53" s="4">
        <v>52</v>
      </c>
      <c r="B53" s="4" t="s">
        <v>180</v>
      </c>
      <c r="C53" s="4" t="s">
        <v>165</v>
      </c>
      <c r="D53" s="4" t="s">
        <v>179</v>
      </c>
      <c r="E53" s="4" t="s">
        <v>165</v>
      </c>
      <c r="F53" s="4" t="s">
        <v>176</v>
      </c>
      <c r="G53" s="4" t="s">
        <v>167</v>
      </c>
      <c r="H53" s="4">
        <f t="shared" ca="1" si="0"/>
        <v>3</v>
      </c>
      <c r="I53" s="4">
        <v>2</v>
      </c>
      <c r="J53" s="4" t="s">
        <v>169</v>
      </c>
      <c r="K53" s="4" t="s">
        <v>165</v>
      </c>
      <c r="L53" s="4" t="s">
        <v>174</v>
      </c>
      <c r="M53" s="4">
        <v>7</v>
      </c>
      <c r="N53" s="4">
        <f t="shared" ca="1" si="1"/>
        <v>0</v>
      </c>
    </row>
    <row r="54" spans="1:14" x14ac:dyDescent="0.25">
      <c r="A54" s="4">
        <v>53</v>
      </c>
      <c r="B54" s="4" t="s">
        <v>171</v>
      </c>
      <c r="C54" s="4" t="s">
        <v>169</v>
      </c>
      <c r="D54" s="4" t="s">
        <v>220</v>
      </c>
      <c r="E54" s="4" t="s">
        <v>169</v>
      </c>
      <c r="F54" s="4" t="s">
        <v>167</v>
      </c>
      <c r="G54" s="4" t="s">
        <v>177</v>
      </c>
      <c r="H54" s="4">
        <f t="shared" ca="1" si="0"/>
        <v>1</v>
      </c>
      <c r="I54" s="4" t="s">
        <v>178</v>
      </c>
      <c r="J54" s="4" t="s">
        <v>165</v>
      </c>
      <c r="K54" s="4" t="s">
        <v>169</v>
      </c>
      <c r="L54" s="4" t="s">
        <v>170</v>
      </c>
      <c r="M54" s="4">
        <v>4</v>
      </c>
      <c r="N54" s="4">
        <f t="shared" ca="1" si="1"/>
        <v>0</v>
      </c>
    </row>
    <row r="55" spans="1:14" x14ac:dyDescent="0.25">
      <c r="A55" s="4">
        <v>54</v>
      </c>
      <c r="B55" s="4" t="s">
        <v>175</v>
      </c>
      <c r="C55" s="4" t="s">
        <v>165</v>
      </c>
      <c r="D55" s="4" t="s">
        <v>179</v>
      </c>
      <c r="E55" s="4" t="s">
        <v>169</v>
      </c>
      <c r="F55" s="4" t="s">
        <v>167</v>
      </c>
      <c r="G55" s="4" t="s">
        <v>168</v>
      </c>
      <c r="H55" s="4">
        <f t="shared" ca="1" si="0"/>
        <v>2</v>
      </c>
      <c r="I55" s="4">
        <v>2</v>
      </c>
      <c r="J55" s="4" t="s">
        <v>165</v>
      </c>
      <c r="K55" s="4" t="s">
        <v>165</v>
      </c>
      <c r="L55" s="4" t="s">
        <v>170</v>
      </c>
      <c r="M55" s="4">
        <v>4</v>
      </c>
      <c r="N55" s="4">
        <f t="shared" ca="1" si="1"/>
        <v>2</v>
      </c>
    </row>
    <row r="56" spans="1:14" x14ac:dyDescent="0.25">
      <c r="A56" s="4">
        <v>55</v>
      </c>
      <c r="B56" s="4" t="s">
        <v>175</v>
      </c>
      <c r="C56" s="4" t="s">
        <v>165</v>
      </c>
      <c r="D56" s="4" t="s">
        <v>164</v>
      </c>
      <c r="E56" s="4" t="s">
        <v>169</v>
      </c>
      <c r="F56" s="4" t="s">
        <v>176</v>
      </c>
      <c r="G56" s="4" t="s">
        <v>181</v>
      </c>
      <c r="H56" s="4">
        <f t="shared" ca="1" si="0"/>
        <v>1</v>
      </c>
      <c r="I56" s="4">
        <v>2</v>
      </c>
      <c r="J56" s="4" t="s">
        <v>169</v>
      </c>
      <c r="K56" s="4" t="s">
        <v>169</v>
      </c>
      <c r="L56" s="4" t="s">
        <v>174</v>
      </c>
      <c r="M56" s="4">
        <v>12</v>
      </c>
      <c r="N56" s="4">
        <f t="shared" ca="1" si="1"/>
        <v>2</v>
      </c>
    </row>
    <row r="57" spans="1:14" x14ac:dyDescent="0.25">
      <c r="A57" s="4">
        <v>56</v>
      </c>
      <c r="B57" s="4" t="s">
        <v>175</v>
      </c>
      <c r="C57" s="4" t="s">
        <v>165</v>
      </c>
      <c r="D57" s="4" t="s">
        <v>220</v>
      </c>
      <c r="E57" s="4" t="s">
        <v>165</v>
      </c>
      <c r="F57" s="4" t="s">
        <v>167</v>
      </c>
      <c r="G57" s="4" t="s">
        <v>167</v>
      </c>
      <c r="H57" s="4">
        <f t="shared" ca="1" si="0"/>
        <v>2</v>
      </c>
      <c r="I57" s="4">
        <v>2</v>
      </c>
      <c r="J57" s="4" t="s">
        <v>165</v>
      </c>
      <c r="K57" s="4" t="s">
        <v>165</v>
      </c>
      <c r="L57" s="4" t="s">
        <v>176</v>
      </c>
      <c r="M57" s="4">
        <v>8</v>
      </c>
      <c r="N57" s="4">
        <f t="shared" ca="1" si="1"/>
        <v>0</v>
      </c>
    </row>
    <row r="58" spans="1:14" x14ac:dyDescent="0.25">
      <c r="A58" s="4">
        <v>57</v>
      </c>
      <c r="B58" s="4" t="s">
        <v>175</v>
      </c>
      <c r="C58" s="4" t="s">
        <v>165</v>
      </c>
      <c r="D58" s="4" t="s">
        <v>166</v>
      </c>
      <c r="E58" s="4" t="s">
        <v>165</v>
      </c>
      <c r="F58" s="4" t="s">
        <v>176</v>
      </c>
      <c r="G58" s="4" t="s">
        <v>181</v>
      </c>
      <c r="H58" s="4">
        <f t="shared" ca="1" si="0"/>
        <v>0</v>
      </c>
      <c r="I58" s="4">
        <v>1</v>
      </c>
      <c r="J58" s="4" t="s">
        <v>169</v>
      </c>
      <c r="K58" s="4" t="s">
        <v>165</v>
      </c>
      <c r="L58" s="4" t="s">
        <v>174</v>
      </c>
      <c r="M58" s="4">
        <v>12</v>
      </c>
      <c r="N58" s="4">
        <f t="shared" ca="1" si="1"/>
        <v>1</v>
      </c>
    </row>
    <row r="59" spans="1:14" x14ac:dyDescent="0.25">
      <c r="A59" s="4">
        <v>58</v>
      </c>
      <c r="B59" s="4" t="s">
        <v>164</v>
      </c>
      <c r="C59" s="4" t="s">
        <v>169</v>
      </c>
      <c r="D59" s="4" t="s">
        <v>179</v>
      </c>
      <c r="E59" s="4" t="s">
        <v>165</v>
      </c>
      <c r="F59" s="4" t="s">
        <v>173</v>
      </c>
      <c r="G59" s="4" t="s">
        <v>173</v>
      </c>
      <c r="H59" s="4">
        <f t="shared" ca="1" si="0"/>
        <v>3</v>
      </c>
      <c r="I59" s="4">
        <v>0</v>
      </c>
      <c r="J59" s="4" t="s">
        <v>165</v>
      </c>
      <c r="K59" s="4" t="s">
        <v>169</v>
      </c>
      <c r="L59" s="4" t="s">
        <v>176</v>
      </c>
      <c r="M59" s="4">
        <v>8</v>
      </c>
      <c r="N59" s="4">
        <f t="shared" ca="1" si="1"/>
        <v>0</v>
      </c>
    </row>
    <row r="60" spans="1:14" x14ac:dyDescent="0.25">
      <c r="A60" s="4">
        <v>59</v>
      </c>
      <c r="B60" s="4" t="s">
        <v>171</v>
      </c>
      <c r="C60" s="4" t="s">
        <v>165</v>
      </c>
      <c r="D60" s="4" t="s">
        <v>179</v>
      </c>
      <c r="E60" s="4" t="s">
        <v>169</v>
      </c>
      <c r="F60" s="4" t="s">
        <v>173</v>
      </c>
      <c r="G60" s="4" t="s">
        <v>173</v>
      </c>
      <c r="H60" s="4">
        <f t="shared" ca="1" si="0"/>
        <v>1</v>
      </c>
      <c r="I60" s="4">
        <v>0</v>
      </c>
      <c r="J60" s="4" t="s">
        <v>169</v>
      </c>
      <c r="K60" s="4" t="s">
        <v>165</v>
      </c>
      <c r="L60" s="4" t="s">
        <v>174</v>
      </c>
      <c r="M60" s="4">
        <v>7</v>
      </c>
      <c r="N60" s="4">
        <f t="shared" ca="1" si="1"/>
        <v>1</v>
      </c>
    </row>
    <row r="61" spans="1:14" x14ac:dyDescent="0.25">
      <c r="A61" s="4">
        <v>60</v>
      </c>
      <c r="B61" s="4" t="s">
        <v>175</v>
      </c>
      <c r="C61" s="4" t="s">
        <v>165</v>
      </c>
      <c r="D61" s="4" t="s">
        <v>164</v>
      </c>
      <c r="E61" s="4" t="s">
        <v>165</v>
      </c>
      <c r="F61" s="4" t="s">
        <v>173</v>
      </c>
      <c r="G61" s="4" t="s">
        <v>173</v>
      </c>
      <c r="H61" s="4">
        <f t="shared" ca="1" si="0"/>
        <v>0</v>
      </c>
      <c r="I61" s="4">
        <v>2</v>
      </c>
      <c r="J61" s="4" t="s">
        <v>169</v>
      </c>
      <c r="K61" s="4" t="s">
        <v>165</v>
      </c>
      <c r="L61" s="4" t="s">
        <v>170</v>
      </c>
      <c r="M61" s="4">
        <v>9</v>
      </c>
      <c r="N61" s="4">
        <f t="shared" ca="1" si="1"/>
        <v>2</v>
      </c>
    </row>
    <row r="62" spans="1:14" x14ac:dyDescent="0.25">
      <c r="A62" s="4">
        <v>61</v>
      </c>
      <c r="B62" s="4" t="s">
        <v>180</v>
      </c>
      <c r="C62" s="4" t="s">
        <v>169</v>
      </c>
      <c r="D62" s="4" t="s">
        <v>172</v>
      </c>
      <c r="E62" s="4" t="s">
        <v>169</v>
      </c>
      <c r="F62" s="4" t="s">
        <v>173</v>
      </c>
      <c r="G62" s="4" t="s">
        <v>173</v>
      </c>
      <c r="H62" s="4">
        <f t="shared" ca="1" si="0"/>
        <v>3</v>
      </c>
      <c r="I62" s="4">
        <v>0</v>
      </c>
      <c r="J62" s="4" t="s">
        <v>169</v>
      </c>
      <c r="K62" s="4" t="s">
        <v>165</v>
      </c>
      <c r="L62" s="4" t="s">
        <v>176</v>
      </c>
      <c r="M62" s="4">
        <v>10</v>
      </c>
      <c r="N62" s="4">
        <f t="shared" ca="1" si="1"/>
        <v>1</v>
      </c>
    </row>
    <row r="63" spans="1:14" x14ac:dyDescent="0.25">
      <c r="A63" s="4">
        <v>62</v>
      </c>
      <c r="B63" s="4" t="s">
        <v>164</v>
      </c>
      <c r="C63" s="4" t="s">
        <v>165</v>
      </c>
      <c r="D63" s="4" t="s">
        <v>179</v>
      </c>
      <c r="E63" s="4" t="s">
        <v>169</v>
      </c>
      <c r="F63" s="4" t="s">
        <v>176</v>
      </c>
      <c r="G63" s="4" t="s">
        <v>181</v>
      </c>
      <c r="H63" s="4">
        <f t="shared" ca="1" si="0"/>
        <v>1</v>
      </c>
      <c r="I63" s="4">
        <v>1</v>
      </c>
      <c r="J63" s="4" t="s">
        <v>165</v>
      </c>
      <c r="K63" s="4" t="s">
        <v>169</v>
      </c>
      <c r="L63" s="4" t="s">
        <v>170</v>
      </c>
      <c r="M63" s="4">
        <v>12</v>
      </c>
      <c r="N63" s="4">
        <f t="shared" ca="1" si="1"/>
        <v>0</v>
      </c>
    </row>
    <row r="64" spans="1:14" x14ac:dyDescent="0.25">
      <c r="A64" s="4">
        <v>63</v>
      </c>
      <c r="B64" s="4" t="s">
        <v>164</v>
      </c>
      <c r="C64" s="4" t="s">
        <v>169</v>
      </c>
      <c r="D64" s="4" t="s">
        <v>179</v>
      </c>
      <c r="E64" s="4" t="s">
        <v>169</v>
      </c>
      <c r="F64" s="4" t="s">
        <v>173</v>
      </c>
      <c r="G64" s="4" t="s">
        <v>173</v>
      </c>
      <c r="H64" s="4">
        <f t="shared" ca="1" si="0"/>
        <v>3</v>
      </c>
      <c r="I64" s="4">
        <v>0</v>
      </c>
      <c r="J64" s="4" t="s">
        <v>165</v>
      </c>
      <c r="K64" s="4" t="s">
        <v>165</v>
      </c>
      <c r="L64" s="4" t="s">
        <v>174</v>
      </c>
      <c r="M64" s="4">
        <v>3</v>
      </c>
      <c r="N64" s="4">
        <f t="shared" ca="1" si="1"/>
        <v>1</v>
      </c>
    </row>
    <row r="65" spans="1:14" x14ac:dyDescent="0.25">
      <c r="A65" s="4">
        <v>64</v>
      </c>
      <c r="B65" s="4" t="s">
        <v>180</v>
      </c>
      <c r="C65" s="4" t="s">
        <v>165</v>
      </c>
      <c r="D65" s="4" t="s">
        <v>166</v>
      </c>
      <c r="E65" s="4" t="s">
        <v>169</v>
      </c>
      <c r="F65" s="4" t="s">
        <v>167</v>
      </c>
      <c r="G65" s="4" t="s">
        <v>181</v>
      </c>
      <c r="H65" s="4">
        <f t="shared" ca="1" si="0"/>
        <v>0</v>
      </c>
      <c r="I65" s="4">
        <v>0</v>
      </c>
      <c r="J65" s="4" t="s">
        <v>165</v>
      </c>
      <c r="K65" s="4" t="s">
        <v>169</v>
      </c>
      <c r="L65" s="4" t="s">
        <v>170</v>
      </c>
      <c r="M65" s="4">
        <v>10</v>
      </c>
      <c r="N65" s="4">
        <f t="shared" ca="1" si="1"/>
        <v>2</v>
      </c>
    </row>
    <row r="66" spans="1:14" x14ac:dyDescent="0.25">
      <c r="A66" s="4">
        <v>65</v>
      </c>
      <c r="B66" s="4" t="s">
        <v>171</v>
      </c>
      <c r="C66" s="4" t="s">
        <v>165</v>
      </c>
      <c r="D66" s="4" t="s">
        <v>179</v>
      </c>
      <c r="E66" s="4" t="s">
        <v>169</v>
      </c>
      <c r="F66" s="4" t="s">
        <v>167</v>
      </c>
      <c r="G66" s="4" t="s">
        <v>168</v>
      </c>
      <c r="H66" s="4">
        <f t="shared" ca="1" si="0"/>
        <v>0</v>
      </c>
      <c r="I66" s="4">
        <v>1</v>
      </c>
      <c r="J66" s="4" t="s">
        <v>165</v>
      </c>
      <c r="K66" s="4" t="s">
        <v>169</v>
      </c>
      <c r="L66" s="4" t="s">
        <v>174</v>
      </c>
      <c r="M66" s="4">
        <v>2</v>
      </c>
      <c r="N66" s="4">
        <f t="shared" ca="1" si="1"/>
        <v>0</v>
      </c>
    </row>
    <row r="67" spans="1:14" x14ac:dyDescent="0.25">
      <c r="A67" s="4">
        <v>66</v>
      </c>
      <c r="B67" s="4" t="s">
        <v>164</v>
      </c>
      <c r="C67" s="4" t="s">
        <v>169</v>
      </c>
      <c r="D67" s="4" t="s">
        <v>179</v>
      </c>
      <c r="E67" s="4" t="s">
        <v>165</v>
      </c>
      <c r="F67" s="4" t="s">
        <v>173</v>
      </c>
      <c r="G67" s="4" t="s">
        <v>173</v>
      </c>
      <c r="H67" s="4">
        <f t="shared" ref="H67:H130" ca="1" si="2">RANDBETWEEN(0,3)</f>
        <v>1</v>
      </c>
      <c r="I67" s="4">
        <v>0</v>
      </c>
      <c r="J67" s="4" t="s">
        <v>169</v>
      </c>
      <c r="K67" s="4" t="s">
        <v>169</v>
      </c>
      <c r="L67" s="4" t="s">
        <v>170</v>
      </c>
      <c r="M67" s="4">
        <v>11</v>
      </c>
      <c r="N67" s="4">
        <f t="shared" ref="N67:N130" ca="1" si="3">RANDBETWEEN(0,2)</f>
        <v>1</v>
      </c>
    </row>
    <row r="68" spans="1:14" x14ac:dyDescent="0.25">
      <c r="A68" s="4">
        <v>67</v>
      </c>
      <c r="B68" s="4" t="s">
        <v>180</v>
      </c>
      <c r="C68" s="4" t="s">
        <v>165</v>
      </c>
      <c r="D68" s="4" t="s">
        <v>220</v>
      </c>
      <c r="E68" s="4" t="s">
        <v>169</v>
      </c>
      <c r="F68" s="4" t="s">
        <v>176</v>
      </c>
      <c r="G68" s="4" t="s">
        <v>167</v>
      </c>
      <c r="H68" s="4">
        <f t="shared" ca="1" si="2"/>
        <v>2</v>
      </c>
      <c r="I68" s="4">
        <v>2</v>
      </c>
      <c r="J68" s="4" t="s">
        <v>169</v>
      </c>
      <c r="K68" s="4" t="s">
        <v>169</v>
      </c>
      <c r="L68" s="4" t="s">
        <v>176</v>
      </c>
      <c r="M68" s="4">
        <v>10</v>
      </c>
      <c r="N68" s="4">
        <f t="shared" ca="1" si="3"/>
        <v>1</v>
      </c>
    </row>
    <row r="69" spans="1:14" x14ac:dyDescent="0.25">
      <c r="A69" s="4">
        <v>68</v>
      </c>
      <c r="B69" s="4" t="s">
        <v>164</v>
      </c>
      <c r="C69" s="4" t="s">
        <v>169</v>
      </c>
      <c r="D69" s="4" t="s">
        <v>179</v>
      </c>
      <c r="E69" s="4" t="s">
        <v>165</v>
      </c>
      <c r="F69" s="4" t="s">
        <v>173</v>
      </c>
      <c r="G69" s="4" t="s">
        <v>173</v>
      </c>
      <c r="H69" s="4">
        <f t="shared" ca="1" si="2"/>
        <v>1</v>
      </c>
      <c r="I69" s="4">
        <v>2</v>
      </c>
      <c r="J69" s="4" t="s">
        <v>169</v>
      </c>
      <c r="K69" s="4" t="s">
        <v>165</v>
      </c>
      <c r="L69" s="4" t="s">
        <v>176</v>
      </c>
      <c r="M69" s="4">
        <v>6</v>
      </c>
      <c r="N69" s="4">
        <f t="shared" ca="1" si="3"/>
        <v>1</v>
      </c>
    </row>
    <row r="70" spans="1:14" x14ac:dyDescent="0.25">
      <c r="A70" s="4">
        <v>69</v>
      </c>
      <c r="B70" s="4" t="s">
        <v>164</v>
      </c>
      <c r="C70" s="4" t="s">
        <v>169</v>
      </c>
      <c r="D70" s="4" t="s">
        <v>179</v>
      </c>
      <c r="E70" s="4" t="s">
        <v>169</v>
      </c>
      <c r="F70" s="4" t="s">
        <v>167</v>
      </c>
      <c r="G70" s="4" t="s">
        <v>168</v>
      </c>
      <c r="H70" s="4">
        <f t="shared" ca="1" si="2"/>
        <v>2</v>
      </c>
      <c r="I70" s="4">
        <v>0</v>
      </c>
      <c r="J70" s="4" t="s">
        <v>169</v>
      </c>
      <c r="K70" s="4" t="s">
        <v>169</v>
      </c>
      <c r="L70" s="4" t="s">
        <v>174</v>
      </c>
      <c r="M70" s="4">
        <v>6</v>
      </c>
      <c r="N70" s="4">
        <f t="shared" ca="1" si="3"/>
        <v>1</v>
      </c>
    </row>
    <row r="71" spans="1:14" x14ac:dyDescent="0.25">
      <c r="A71" s="4">
        <v>70</v>
      </c>
      <c r="B71" s="4" t="s">
        <v>175</v>
      </c>
      <c r="C71" s="4" t="s">
        <v>169</v>
      </c>
      <c r="D71" s="4" t="s">
        <v>172</v>
      </c>
      <c r="E71" s="4" t="s">
        <v>169</v>
      </c>
      <c r="F71" s="4" t="s">
        <v>173</v>
      </c>
      <c r="G71" s="4" t="s">
        <v>173</v>
      </c>
      <c r="H71" s="4">
        <f t="shared" ca="1" si="2"/>
        <v>2</v>
      </c>
      <c r="I71" s="4">
        <v>0</v>
      </c>
      <c r="J71" s="4" t="s">
        <v>165</v>
      </c>
      <c r="K71" s="4" t="s">
        <v>169</v>
      </c>
      <c r="L71" s="4" t="s">
        <v>176</v>
      </c>
      <c r="M71" s="4">
        <v>11</v>
      </c>
      <c r="N71" s="4">
        <f t="shared" ca="1" si="3"/>
        <v>1</v>
      </c>
    </row>
    <row r="72" spans="1:14" x14ac:dyDescent="0.25">
      <c r="A72" s="4">
        <v>71</v>
      </c>
      <c r="B72" s="4" t="s">
        <v>164</v>
      </c>
      <c r="C72" s="4" t="s">
        <v>169</v>
      </c>
      <c r="D72" s="4" t="s">
        <v>166</v>
      </c>
      <c r="E72" s="4" t="s">
        <v>169</v>
      </c>
      <c r="F72" s="4" t="s">
        <v>167</v>
      </c>
      <c r="G72" s="4" t="s">
        <v>168</v>
      </c>
      <c r="H72" s="4">
        <f t="shared" ca="1" si="2"/>
        <v>2</v>
      </c>
      <c r="I72" s="4">
        <v>1</v>
      </c>
      <c r="J72" s="4" t="s">
        <v>165</v>
      </c>
      <c r="K72" s="4" t="s">
        <v>169</v>
      </c>
      <c r="L72" s="4" t="s">
        <v>176</v>
      </c>
      <c r="M72" s="4">
        <v>6</v>
      </c>
      <c r="N72" s="4">
        <f t="shared" ca="1" si="3"/>
        <v>2</v>
      </c>
    </row>
    <row r="73" spans="1:14" x14ac:dyDescent="0.25">
      <c r="A73" s="4">
        <v>72</v>
      </c>
      <c r="B73" s="4" t="s">
        <v>175</v>
      </c>
      <c r="C73" s="4" t="s">
        <v>165</v>
      </c>
      <c r="D73" s="4" t="s">
        <v>179</v>
      </c>
      <c r="E73" s="4" t="s">
        <v>169</v>
      </c>
      <c r="F73" s="4" t="s">
        <v>167</v>
      </c>
      <c r="G73" s="4" t="s">
        <v>168</v>
      </c>
      <c r="H73" s="4">
        <f t="shared" ca="1" si="2"/>
        <v>3</v>
      </c>
      <c r="I73" s="4">
        <v>0</v>
      </c>
      <c r="J73" s="4" t="s">
        <v>169</v>
      </c>
      <c r="K73" s="4" t="s">
        <v>169</v>
      </c>
      <c r="L73" s="4" t="s">
        <v>174</v>
      </c>
      <c r="M73" s="4">
        <v>7</v>
      </c>
      <c r="N73" s="4">
        <f t="shared" ca="1" si="3"/>
        <v>0</v>
      </c>
    </row>
    <row r="74" spans="1:14" x14ac:dyDescent="0.25">
      <c r="A74" s="4">
        <v>73</v>
      </c>
      <c r="B74" s="4" t="s">
        <v>164</v>
      </c>
      <c r="C74" s="4" t="s">
        <v>165</v>
      </c>
      <c r="D74" s="4" t="s">
        <v>164</v>
      </c>
      <c r="E74" s="4" t="s">
        <v>165</v>
      </c>
      <c r="F74" s="4" t="s">
        <v>173</v>
      </c>
      <c r="G74" s="4" t="s">
        <v>173</v>
      </c>
      <c r="H74" s="4">
        <f t="shared" ca="1" si="2"/>
        <v>3</v>
      </c>
      <c r="I74" s="4">
        <v>0</v>
      </c>
      <c r="J74" s="4" t="s">
        <v>169</v>
      </c>
      <c r="K74" s="4" t="s">
        <v>169</v>
      </c>
      <c r="L74" s="4" t="s">
        <v>174</v>
      </c>
      <c r="M74" s="4">
        <v>11</v>
      </c>
      <c r="N74" s="4">
        <f t="shared" ca="1" si="3"/>
        <v>1</v>
      </c>
    </row>
    <row r="75" spans="1:14" x14ac:dyDescent="0.25">
      <c r="A75" s="4">
        <v>74</v>
      </c>
      <c r="B75" s="4" t="s">
        <v>180</v>
      </c>
      <c r="C75" s="4" t="s">
        <v>165</v>
      </c>
      <c r="D75" s="4" t="s">
        <v>179</v>
      </c>
      <c r="E75" s="4" t="s">
        <v>165</v>
      </c>
      <c r="F75" s="4" t="s">
        <v>167</v>
      </c>
      <c r="G75" s="4" t="s">
        <v>181</v>
      </c>
      <c r="H75" s="4">
        <f t="shared" ca="1" si="2"/>
        <v>3</v>
      </c>
      <c r="I75" s="4">
        <v>0</v>
      </c>
      <c r="J75" s="4" t="s">
        <v>169</v>
      </c>
      <c r="K75" s="4" t="s">
        <v>169</v>
      </c>
      <c r="L75" s="4" t="s">
        <v>176</v>
      </c>
      <c r="M75" s="4">
        <v>11</v>
      </c>
      <c r="N75" s="4">
        <f t="shared" ca="1" si="3"/>
        <v>2</v>
      </c>
    </row>
    <row r="76" spans="1:14" x14ac:dyDescent="0.25">
      <c r="A76" s="4">
        <v>75</v>
      </c>
      <c r="B76" s="4" t="s">
        <v>171</v>
      </c>
      <c r="C76" s="4" t="s">
        <v>165</v>
      </c>
      <c r="D76" s="4" t="s">
        <v>164</v>
      </c>
      <c r="E76" s="4" t="s">
        <v>165</v>
      </c>
      <c r="F76" s="4" t="s">
        <v>167</v>
      </c>
      <c r="G76" s="4" t="s">
        <v>177</v>
      </c>
      <c r="H76" s="4">
        <f t="shared" ca="1" si="2"/>
        <v>0</v>
      </c>
      <c r="I76" s="4" t="s">
        <v>178</v>
      </c>
      <c r="J76" s="4" t="s">
        <v>169</v>
      </c>
      <c r="K76" s="4" t="s">
        <v>165</v>
      </c>
      <c r="L76" s="4" t="s">
        <v>170</v>
      </c>
      <c r="M76" s="4">
        <v>4</v>
      </c>
      <c r="N76" s="4">
        <f t="shared" ca="1" si="3"/>
        <v>0</v>
      </c>
    </row>
    <row r="77" spans="1:14" x14ac:dyDescent="0.25">
      <c r="A77" s="4">
        <v>76</v>
      </c>
      <c r="B77" s="4" t="s">
        <v>164</v>
      </c>
      <c r="C77" s="4" t="s">
        <v>169</v>
      </c>
      <c r="D77" s="4" t="s">
        <v>179</v>
      </c>
      <c r="E77" s="4" t="s">
        <v>165</v>
      </c>
      <c r="F77" s="4" t="s">
        <v>167</v>
      </c>
      <c r="G77" s="4" t="s">
        <v>168</v>
      </c>
      <c r="H77" s="4">
        <f t="shared" ca="1" si="2"/>
        <v>3</v>
      </c>
      <c r="I77" s="4">
        <v>2</v>
      </c>
      <c r="J77" s="4" t="s">
        <v>169</v>
      </c>
      <c r="K77" s="4" t="s">
        <v>165</v>
      </c>
      <c r="L77" s="4" t="s">
        <v>176</v>
      </c>
      <c r="M77" s="4">
        <v>11</v>
      </c>
      <c r="N77" s="4">
        <f t="shared" ca="1" si="3"/>
        <v>1</v>
      </c>
    </row>
    <row r="78" spans="1:14" x14ac:dyDescent="0.25">
      <c r="A78" s="4">
        <v>77</v>
      </c>
      <c r="B78" s="4" t="s">
        <v>164</v>
      </c>
      <c r="C78" s="4" t="s">
        <v>169</v>
      </c>
      <c r="D78" s="4" t="s">
        <v>164</v>
      </c>
      <c r="E78" s="4" t="s">
        <v>165</v>
      </c>
      <c r="F78" s="4" t="s">
        <v>173</v>
      </c>
      <c r="G78" s="4" t="s">
        <v>173</v>
      </c>
      <c r="H78" s="4">
        <f t="shared" ca="1" si="2"/>
        <v>1</v>
      </c>
      <c r="I78" s="4">
        <v>2</v>
      </c>
      <c r="J78" s="4" t="s">
        <v>169</v>
      </c>
      <c r="K78" s="4" t="s">
        <v>169</v>
      </c>
      <c r="L78" s="4" t="s">
        <v>174</v>
      </c>
      <c r="M78" s="4">
        <v>2</v>
      </c>
      <c r="N78" s="4">
        <f t="shared" ca="1" si="3"/>
        <v>0</v>
      </c>
    </row>
    <row r="79" spans="1:14" x14ac:dyDescent="0.25">
      <c r="A79" s="4">
        <v>78</v>
      </c>
      <c r="B79" s="4" t="s">
        <v>171</v>
      </c>
      <c r="C79" s="4" t="s">
        <v>165</v>
      </c>
      <c r="D79" s="4" t="s">
        <v>220</v>
      </c>
      <c r="E79" s="4" t="s">
        <v>165</v>
      </c>
      <c r="F79" s="4" t="s">
        <v>173</v>
      </c>
      <c r="G79" s="4" t="s">
        <v>173</v>
      </c>
      <c r="H79" s="4">
        <f t="shared" ca="1" si="2"/>
        <v>3</v>
      </c>
      <c r="I79" s="4">
        <v>1</v>
      </c>
      <c r="J79" s="4" t="s">
        <v>165</v>
      </c>
      <c r="K79" s="4" t="s">
        <v>169</v>
      </c>
      <c r="L79" s="4" t="s">
        <v>170</v>
      </c>
      <c r="M79" s="4">
        <v>2</v>
      </c>
      <c r="N79" s="4">
        <f t="shared" ca="1" si="3"/>
        <v>1</v>
      </c>
    </row>
    <row r="80" spans="1:14" x14ac:dyDescent="0.25">
      <c r="A80" s="4">
        <v>79</v>
      </c>
      <c r="B80" s="4" t="s">
        <v>171</v>
      </c>
      <c r="C80" s="4" t="s">
        <v>169</v>
      </c>
      <c r="D80" s="4" t="s">
        <v>164</v>
      </c>
      <c r="E80" s="4" t="s">
        <v>165</v>
      </c>
      <c r="F80" s="4" t="s">
        <v>167</v>
      </c>
      <c r="G80" s="4" t="s">
        <v>167</v>
      </c>
      <c r="H80" s="4">
        <f t="shared" ca="1" si="2"/>
        <v>0</v>
      </c>
      <c r="I80" s="4" t="s">
        <v>178</v>
      </c>
      <c r="J80" s="4" t="s">
        <v>165</v>
      </c>
      <c r="K80" s="4" t="s">
        <v>165</v>
      </c>
      <c r="L80" s="4" t="s">
        <v>170</v>
      </c>
      <c r="M80" s="4">
        <v>9</v>
      </c>
      <c r="N80" s="4">
        <f t="shared" ca="1" si="3"/>
        <v>1</v>
      </c>
    </row>
    <row r="81" spans="1:14" x14ac:dyDescent="0.25">
      <c r="A81" s="4">
        <v>80</v>
      </c>
      <c r="B81" s="4" t="s">
        <v>180</v>
      </c>
      <c r="C81" s="4" t="s">
        <v>169</v>
      </c>
      <c r="D81" s="4" t="s">
        <v>220</v>
      </c>
      <c r="E81" s="4" t="s">
        <v>165</v>
      </c>
      <c r="F81" s="4" t="s">
        <v>167</v>
      </c>
      <c r="G81" s="4" t="s">
        <v>167</v>
      </c>
      <c r="H81" s="4">
        <f t="shared" ca="1" si="2"/>
        <v>1</v>
      </c>
      <c r="I81" s="4">
        <v>1</v>
      </c>
      <c r="J81" s="4" t="s">
        <v>169</v>
      </c>
      <c r="K81" s="4" t="s">
        <v>169</v>
      </c>
      <c r="L81" s="4" t="s">
        <v>170</v>
      </c>
      <c r="M81" s="4">
        <v>6</v>
      </c>
      <c r="N81" s="4">
        <f t="shared" ca="1" si="3"/>
        <v>1</v>
      </c>
    </row>
    <row r="82" spans="1:14" x14ac:dyDescent="0.25">
      <c r="A82" s="4">
        <v>81</v>
      </c>
      <c r="B82" s="4" t="s">
        <v>180</v>
      </c>
      <c r="C82" s="4" t="s">
        <v>165</v>
      </c>
      <c r="D82" s="4" t="s">
        <v>179</v>
      </c>
      <c r="E82" s="4" t="s">
        <v>165</v>
      </c>
      <c r="F82" s="4" t="s">
        <v>176</v>
      </c>
      <c r="G82" s="4" t="s">
        <v>181</v>
      </c>
      <c r="H82" s="4">
        <f t="shared" ca="1" si="2"/>
        <v>1</v>
      </c>
      <c r="I82" s="4" t="s">
        <v>178</v>
      </c>
      <c r="J82" s="4" t="s">
        <v>169</v>
      </c>
      <c r="K82" s="4" t="s">
        <v>169</v>
      </c>
      <c r="L82" s="4" t="s">
        <v>170</v>
      </c>
      <c r="M82" s="4">
        <v>2</v>
      </c>
      <c r="N82" s="4">
        <f t="shared" ca="1" si="3"/>
        <v>2</v>
      </c>
    </row>
    <row r="83" spans="1:14" x14ac:dyDescent="0.25">
      <c r="A83" s="4">
        <v>82</v>
      </c>
      <c r="B83" s="4" t="s">
        <v>164</v>
      </c>
      <c r="C83" s="4" t="s">
        <v>165</v>
      </c>
      <c r="D83" s="4" t="s">
        <v>164</v>
      </c>
      <c r="E83" s="4" t="s">
        <v>169</v>
      </c>
      <c r="F83" s="4" t="s">
        <v>176</v>
      </c>
      <c r="G83" s="4" t="s">
        <v>177</v>
      </c>
      <c r="H83" s="4">
        <f t="shared" ca="1" si="2"/>
        <v>2</v>
      </c>
      <c r="I83" s="4">
        <v>1</v>
      </c>
      <c r="J83" s="4" t="s">
        <v>169</v>
      </c>
      <c r="K83" s="4" t="s">
        <v>169</v>
      </c>
      <c r="L83" s="4" t="s">
        <v>170</v>
      </c>
      <c r="M83" s="4">
        <v>11</v>
      </c>
      <c r="N83" s="4">
        <f t="shared" ca="1" si="3"/>
        <v>1</v>
      </c>
    </row>
    <row r="84" spans="1:14" x14ac:dyDescent="0.25">
      <c r="A84" s="4">
        <v>83</v>
      </c>
      <c r="B84" s="4" t="s">
        <v>175</v>
      </c>
      <c r="C84" s="4" t="s">
        <v>169</v>
      </c>
      <c r="D84" s="4" t="s">
        <v>172</v>
      </c>
      <c r="E84" s="4" t="s">
        <v>169</v>
      </c>
      <c r="F84" s="4" t="s">
        <v>173</v>
      </c>
      <c r="G84" s="4" t="s">
        <v>173</v>
      </c>
      <c r="H84" s="4">
        <f t="shared" ca="1" si="2"/>
        <v>2</v>
      </c>
      <c r="I84" s="4">
        <v>2</v>
      </c>
      <c r="J84" s="4" t="s">
        <v>169</v>
      </c>
      <c r="K84" s="4" t="s">
        <v>169</v>
      </c>
      <c r="L84" s="4" t="s">
        <v>174</v>
      </c>
      <c r="M84" s="4">
        <v>2</v>
      </c>
      <c r="N84" s="4">
        <f t="shared" ca="1" si="3"/>
        <v>2</v>
      </c>
    </row>
    <row r="85" spans="1:14" x14ac:dyDescent="0.25">
      <c r="A85" s="4">
        <v>84</v>
      </c>
      <c r="B85" s="4" t="s">
        <v>164</v>
      </c>
      <c r="C85" s="4" t="s">
        <v>165</v>
      </c>
      <c r="D85" s="4" t="s">
        <v>179</v>
      </c>
      <c r="E85" s="4" t="s">
        <v>169</v>
      </c>
      <c r="F85" s="4" t="s">
        <v>167</v>
      </c>
      <c r="G85" s="4" t="s">
        <v>168</v>
      </c>
      <c r="H85" s="4">
        <f t="shared" ca="1" si="2"/>
        <v>3</v>
      </c>
      <c r="I85" s="4">
        <v>1</v>
      </c>
      <c r="J85" s="4" t="s">
        <v>169</v>
      </c>
      <c r="K85" s="4" t="s">
        <v>169</v>
      </c>
      <c r="L85" s="4" t="s">
        <v>170</v>
      </c>
      <c r="M85" s="4">
        <v>7</v>
      </c>
      <c r="N85" s="4">
        <f t="shared" ca="1" si="3"/>
        <v>0</v>
      </c>
    </row>
    <row r="86" spans="1:14" x14ac:dyDescent="0.25">
      <c r="A86" s="4">
        <v>85</v>
      </c>
      <c r="B86" s="4" t="s">
        <v>164</v>
      </c>
      <c r="C86" s="4" t="s">
        <v>165</v>
      </c>
      <c r="D86" s="4" t="s">
        <v>164</v>
      </c>
      <c r="E86" s="4" t="s">
        <v>169</v>
      </c>
      <c r="F86" s="4" t="s">
        <v>167</v>
      </c>
      <c r="G86" s="4" t="s">
        <v>167</v>
      </c>
      <c r="H86" s="4">
        <f t="shared" ca="1" si="2"/>
        <v>2</v>
      </c>
      <c r="I86" s="4">
        <v>2</v>
      </c>
      <c r="J86" s="4" t="s">
        <v>165</v>
      </c>
      <c r="K86" s="4" t="s">
        <v>169</v>
      </c>
      <c r="L86" s="4" t="s">
        <v>170</v>
      </c>
      <c r="M86" s="4">
        <v>10</v>
      </c>
      <c r="N86" s="4">
        <f t="shared" ca="1" si="3"/>
        <v>2</v>
      </c>
    </row>
    <row r="87" spans="1:14" x14ac:dyDescent="0.25">
      <c r="A87" s="4">
        <v>86</v>
      </c>
      <c r="B87" s="4" t="s">
        <v>175</v>
      </c>
      <c r="C87" s="4" t="s">
        <v>165</v>
      </c>
      <c r="D87" s="4" t="s">
        <v>179</v>
      </c>
      <c r="E87" s="4" t="s">
        <v>165</v>
      </c>
      <c r="F87" s="4" t="s">
        <v>176</v>
      </c>
      <c r="G87" s="4" t="s">
        <v>181</v>
      </c>
      <c r="H87" s="4">
        <f t="shared" ca="1" si="2"/>
        <v>1</v>
      </c>
      <c r="I87" s="4" t="s">
        <v>178</v>
      </c>
      <c r="J87" s="4" t="s">
        <v>165</v>
      </c>
      <c r="K87" s="4" t="s">
        <v>169</v>
      </c>
      <c r="L87" s="4" t="s">
        <v>176</v>
      </c>
      <c r="M87" s="4">
        <v>6</v>
      </c>
      <c r="N87" s="4">
        <f t="shared" ca="1" si="3"/>
        <v>0</v>
      </c>
    </row>
    <row r="88" spans="1:14" x14ac:dyDescent="0.25">
      <c r="A88" s="4">
        <v>87</v>
      </c>
      <c r="B88" s="4" t="s">
        <v>180</v>
      </c>
      <c r="C88" s="4" t="s">
        <v>165</v>
      </c>
      <c r="D88" s="4" t="s">
        <v>179</v>
      </c>
      <c r="E88" s="4" t="s">
        <v>165</v>
      </c>
      <c r="F88" s="4" t="s">
        <v>167</v>
      </c>
      <c r="G88" s="4" t="s">
        <v>181</v>
      </c>
      <c r="H88" s="4">
        <f t="shared" ca="1" si="2"/>
        <v>1</v>
      </c>
      <c r="I88" s="4">
        <v>0</v>
      </c>
      <c r="J88" s="4" t="s">
        <v>169</v>
      </c>
      <c r="K88" s="4" t="s">
        <v>165</v>
      </c>
      <c r="L88" s="4" t="s">
        <v>176</v>
      </c>
      <c r="M88" s="4">
        <v>12</v>
      </c>
      <c r="N88" s="4">
        <f t="shared" ca="1" si="3"/>
        <v>1</v>
      </c>
    </row>
    <row r="89" spans="1:14" x14ac:dyDescent="0.25">
      <c r="A89" s="4">
        <v>88</v>
      </c>
      <c r="B89" s="4" t="s">
        <v>164</v>
      </c>
      <c r="C89" s="4" t="s">
        <v>165</v>
      </c>
      <c r="D89" s="4" t="s">
        <v>166</v>
      </c>
      <c r="E89" s="4" t="s">
        <v>165</v>
      </c>
      <c r="F89" s="4" t="s">
        <v>176</v>
      </c>
      <c r="G89" s="4" t="s">
        <v>181</v>
      </c>
      <c r="H89" s="4">
        <f t="shared" ca="1" si="2"/>
        <v>3</v>
      </c>
      <c r="I89" s="4" t="s">
        <v>178</v>
      </c>
      <c r="J89" s="4" t="s">
        <v>165</v>
      </c>
      <c r="K89" s="4" t="s">
        <v>165</v>
      </c>
      <c r="L89" s="4" t="s">
        <v>176</v>
      </c>
      <c r="M89" s="4">
        <v>3</v>
      </c>
      <c r="N89" s="4">
        <f t="shared" ca="1" si="3"/>
        <v>0</v>
      </c>
    </row>
    <row r="90" spans="1:14" x14ac:dyDescent="0.25">
      <c r="A90" s="4">
        <v>89</v>
      </c>
      <c r="B90" s="4" t="s">
        <v>175</v>
      </c>
      <c r="C90" s="4" t="s">
        <v>169</v>
      </c>
      <c r="D90" s="4" t="s">
        <v>164</v>
      </c>
      <c r="E90" s="4" t="s">
        <v>165</v>
      </c>
      <c r="F90" s="4" t="s">
        <v>167</v>
      </c>
      <c r="G90" s="4" t="s">
        <v>167</v>
      </c>
      <c r="H90" s="4">
        <f t="shared" ca="1" si="2"/>
        <v>0</v>
      </c>
      <c r="I90" s="4">
        <v>1</v>
      </c>
      <c r="J90" s="4" t="s">
        <v>165</v>
      </c>
      <c r="K90" s="4" t="s">
        <v>165</v>
      </c>
      <c r="L90" s="4" t="s">
        <v>170</v>
      </c>
      <c r="M90" s="4">
        <v>9</v>
      </c>
      <c r="N90" s="4">
        <f t="shared" ca="1" si="3"/>
        <v>1</v>
      </c>
    </row>
    <row r="91" spans="1:14" x14ac:dyDescent="0.25">
      <c r="A91" s="4">
        <v>90</v>
      </c>
      <c r="B91" s="4" t="s">
        <v>164</v>
      </c>
      <c r="C91" s="4" t="s">
        <v>165</v>
      </c>
      <c r="D91" s="4" t="s">
        <v>179</v>
      </c>
      <c r="E91" s="4" t="s">
        <v>169</v>
      </c>
      <c r="F91" s="4" t="s">
        <v>173</v>
      </c>
      <c r="G91" s="4" t="s">
        <v>173</v>
      </c>
      <c r="H91" s="4">
        <f t="shared" ca="1" si="2"/>
        <v>1</v>
      </c>
      <c r="I91" s="4" t="s">
        <v>178</v>
      </c>
      <c r="J91" s="4" t="s">
        <v>165</v>
      </c>
      <c r="K91" s="4" t="s">
        <v>169</v>
      </c>
      <c r="L91" s="4" t="s">
        <v>176</v>
      </c>
      <c r="M91" s="4">
        <v>3</v>
      </c>
      <c r="N91" s="4">
        <f t="shared" ca="1" si="3"/>
        <v>0</v>
      </c>
    </row>
    <row r="92" spans="1:14" x14ac:dyDescent="0.25">
      <c r="A92" s="4">
        <v>91</v>
      </c>
      <c r="B92" s="4" t="s">
        <v>180</v>
      </c>
      <c r="C92" s="4" t="s">
        <v>169</v>
      </c>
      <c r="D92" s="4" t="s">
        <v>166</v>
      </c>
      <c r="E92" s="4" t="s">
        <v>169</v>
      </c>
      <c r="F92" s="4" t="s">
        <v>176</v>
      </c>
      <c r="G92" s="4" t="s">
        <v>177</v>
      </c>
      <c r="H92" s="4">
        <f t="shared" ca="1" si="2"/>
        <v>0</v>
      </c>
      <c r="I92" s="4">
        <v>0</v>
      </c>
      <c r="J92" s="4" t="s">
        <v>169</v>
      </c>
      <c r="K92" s="4" t="s">
        <v>165</v>
      </c>
      <c r="L92" s="4" t="s">
        <v>176</v>
      </c>
      <c r="M92" s="4">
        <v>6</v>
      </c>
      <c r="N92" s="4">
        <f t="shared" ca="1" si="3"/>
        <v>1</v>
      </c>
    </row>
    <row r="93" spans="1:14" x14ac:dyDescent="0.25">
      <c r="A93" s="4">
        <v>92</v>
      </c>
      <c r="B93" s="4" t="s">
        <v>175</v>
      </c>
      <c r="C93" s="4" t="s">
        <v>165</v>
      </c>
      <c r="D93" s="4" t="s">
        <v>220</v>
      </c>
      <c r="E93" s="4" t="s">
        <v>165</v>
      </c>
      <c r="F93" s="4" t="s">
        <v>173</v>
      </c>
      <c r="G93" s="4" t="s">
        <v>173</v>
      </c>
      <c r="H93" s="4">
        <f t="shared" ca="1" si="2"/>
        <v>2</v>
      </c>
      <c r="I93" s="4">
        <v>1</v>
      </c>
      <c r="J93" s="4" t="s">
        <v>169</v>
      </c>
      <c r="K93" s="4" t="s">
        <v>165</v>
      </c>
      <c r="L93" s="4" t="s">
        <v>174</v>
      </c>
      <c r="M93" s="4">
        <v>7</v>
      </c>
      <c r="N93" s="4">
        <f t="shared" ca="1" si="3"/>
        <v>1</v>
      </c>
    </row>
    <row r="94" spans="1:14" x14ac:dyDescent="0.25">
      <c r="A94" s="4">
        <v>93</v>
      </c>
      <c r="B94" s="4" t="s">
        <v>180</v>
      </c>
      <c r="C94" s="4" t="s">
        <v>169</v>
      </c>
      <c r="D94" s="4" t="s">
        <v>166</v>
      </c>
      <c r="E94" s="4" t="s">
        <v>169</v>
      </c>
      <c r="F94" s="4" t="s">
        <v>167</v>
      </c>
      <c r="G94" s="4" t="s">
        <v>168</v>
      </c>
      <c r="H94" s="4">
        <f t="shared" ca="1" si="2"/>
        <v>0</v>
      </c>
      <c r="I94" s="4">
        <v>2</v>
      </c>
      <c r="J94" s="4" t="s">
        <v>169</v>
      </c>
      <c r="K94" s="4" t="s">
        <v>169</v>
      </c>
      <c r="L94" s="4" t="s">
        <v>174</v>
      </c>
      <c r="M94" s="4">
        <v>3</v>
      </c>
      <c r="N94" s="4">
        <f t="shared" ca="1" si="3"/>
        <v>0</v>
      </c>
    </row>
    <row r="95" spans="1:14" x14ac:dyDescent="0.25">
      <c r="A95" s="4">
        <v>94</v>
      </c>
      <c r="B95" s="4" t="s">
        <v>175</v>
      </c>
      <c r="C95" s="4" t="s">
        <v>165</v>
      </c>
      <c r="D95" s="4" t="s">
        <v>179</v>
      </c>
      <c r="E95" s="4" t="s">
        <v>165</v>
      </c>
      <c r="F95" s="4" t="s">
        <v>167</v>
      </c>
      <c r="G95" s="4" t="s">
        <v>168</v>
      </c>
      <c r="H95" s="4">
        <f t="shared" ca="1" si="2"/>
        <v>0</v>
      </c>
      <c r="I95" s="4">
        <v>0</v>
      </c>
      <c r="J95" s="4" t="s">
        <v>165</v>
      </c>
      <c r="K95" s="4" t="s">
        <v>165</v>
      </c>
      <c r="L95" s="4" t="s">
        <v>176</v>
      </c>
      <c r="M95" s="4">
        <v>6</v>
      </c>
      <c r="N95" s="4">
        <f t="shared" ca="1" si="3"/>
        <v>2</v>
      </c>
    </row>
    <row r="96" spans="1:14" x14ac:dyDescent="0.25">
      <c r="A96" s="4">
        <v>95</v>
      </c>
      <c r="B96" s="4" t="s">
        <v>175</v>
      </c>
      <c r="C96" s="4" t="s">
        <v>169</v>
      </c>
      <c r="D96" s="4" t="s">
        <v>179</v>
      </c>
      <c r="E96" s="4" t="s">
        <v>169</v>
      </c>
      <c r="F96" s="4" t="s">
        <v>167</v>
      </c>
      <c r="G96" s="4" t="s">
        <v>177</v>
      </c>
      <c r="H96" s="4">
        <f t="shared" ca="1" si="2"/>
        <v>3</v>
      </c>
      <c r="I96" s="4">
        <v>0</v>
      </c>
      <c r="J96" s="4" t="s">
        <v>165</v>
      </c>
      <c r="K96" s="4" t="s">
        <v>169</v>
      </c>
      <c r="L96" s="4" t="s">
        <v>176</v>
      </c>
      <c r="M96" s="4">
        <v>5</v>
      </c>
      <c r="N96" s="4">
        <f t="shared" ca="1" si="3"/>
        <v>2</v>
      </c>
    </row>
    <row r="97" spans="1:14" x14ac:dyDescent="0.25">
      <c r="A97" s="4">
        <v>96</v>
      </c>
      <c r="B97" s="4" t="s">
        <v>164</v>
      </c>
      <c r="C97" s="4" t="s">
        <v>165</v>
      </c>
      <c r="D97" s="4" t="s">
        <v>179</v>
      </c>
      <c r="E97" s="4" t="s">
        <v>165</v>
      </c>
      <c r="F97" s="4" t="s">
        <v>173</v>
      </c>
      <c r="G97" s="4" t="s">
        <v>173</v>
      </c>
      <c r="H97" s="4">
        <f t="shared" ca="1" si="2"/>
        <v>1</v>
      </c>
      <c r="I97" s="4">
        <v>2</v>
      </c>
      <c r="J97" s="4" t="s">
        <v>165</v>
      </c>
      <c r="K97" s="4" t="s">
        <v>169</v>
      </c>
      <c r="L97" s="4" t="s">
        <v>176</v>
      </c>
      <c r="M97" s="4">
        <v>2</v>
      </c>
      <c r="N97" s="4">
        <f t="shared" ca="1" si="3"/>
        <v>1</v>
      </c>
    </row>
    <row r="98" spans="1:14" x14ac:dyDescent="0.25">
      <c r="A98" s="4">
        <v>97</v>
      </c>
      <c r="B98" s="4" t="s">
        <v>180</v>
      </c>
      <c r="C98" s="4" t="s">
        <v>165</v>
      </c>
      <c r="D98" s="4" t="s">
        <v>164</v>
      </c>
      <c r="E98" s="4" t="s">
        <v>165</v>
      </c>
      <c r="F98" s="4" t="s">
        <v>176</v>
      </c>
      <c r="G98" s="4" t="s">
        <v>177</v>
      </c>
      <c r="H98" s="4">
        <f t="shared" ca="1" si="2"/>
        <v>1</v>
      </c>
      <c r="I98" s="4">
        <v>0</v>
      </c>
      <c r="J98" s="4" t="s">
        <v>169</v>
      </c>
      <c r="K98" s="4" t="s">
        <v>169</v>
      </c>
      <c r="L98" s="4" t="s">
        <v>174</v>
      </c>
      <c r="M98" s="4">
        <v>9</v>
      </c>
      <c r="N98" s="4">
        <f t="shared" ca="1" si="3"/>
        <v>2</v>
      </c>
    </row>
    <row r="99" spans="1:14" x14ac:dyDescent="0.25">
      <c r="A99" s="4">
        <v>98</v>
      </c>
      <c r="B99" s="4" t="s">
        <v>175</v>
      </c>
      <c r="C99" s="4" t="s">
        <v>165</v>
      </c>
      <c r="D99" s="4" t="s">
        <v>164</v>
      </c>
      <c r="E99" s="4" t="s">
        <v>169</v>
      </c>
      <c r="F99" s="4" t="s">
        <v>173</v>
      </c>
      <c r="G99" s="4" t="s">
        <v>173</v>
      </c>
      <c r="H99" s="4">
        <f t="shared" ca="1" si="2"/>
        <v>0</v>
      </c>
      <c r="I99" s="4">
        <v>1</v>
      </c>
      <c r="J99" s="4" t="s">
        <v>169</v>
      </c>
      <c r="K99" s="4" t="s">
        <v>169</v>
      </c>
      <c r="L99" s="4" t="s">
        <v>176</v>
      </c>
      <c r="M99" s="4">
        <v>10</v>
      </c>
      <c r="N99" s="4">
        <f t="shared" ca="1" si="3"/>
        <v>0</v>
      </c>
    </row>
    <row r="100" spans="1:14" x14ac:dyDescent="0.25">
      <c r="A100" s="4">
        <v>99</v>
      </c>
      <c r="B100" s="4" t="s">
        <v>164</v>
      </c>
      <c r="C100" s="4" t="s">
        <v>165</v>
      </c>
      <c r="D100" s="4" t="s">
        <v>179</v>
      </c>
      <c r="E100" s="4" t="s">
        <v>165</v>
      </c>
      <c r="F100" s="4" t="s">
        <v>167</v>
      </c>
      <c r="G100" s="4" t="s">
        <v>167</v>
      </c>
      <c r="H100" s="4">
        <f t="shared" ca="1" si="2"/>
        <v>2</v>
      </c>
      <c r="I100" s="4">
        <v>2</v>
      </c>
      <c r="J100" s="4" t="s">
        <v>165</v>
      </c>
      <c r="K100" s="4" t="s">
        <v>169</v>
      </c>
      <c r="L100" s="4" t="s">
        <v>176</v>
      </c>
      <c r="M100" s="4">
        <v>5</v>
      </c>
      <c r="N100" s="4">
        <f t="shared" ca="1" si="3"/>
        <v>2</v>
      </c>
    </row>
    <row r="101" spans="1:14" x14ac:dyDescent="0.25">
      <c r="A101" s="4">
        <v>100</v>
      </c>
      <c r="B101" s="4" t="s">
        <v>164</v>
      </c>
      <c r="C101" s="4" t="s">
        <v>169</v>
      </c>
      <c r="D101" s="4" t="s">
        <v>164</v>
      </c>
      <c r="E101" s="4" t="s">
        <v>169</v>
      </c>
      <c r="F101" s="4" t="s">
        <v>176</v>
      </c>
      <c r="G101" s="4" t="s">
        <v>177</v>
      </c>
      <c r="H101" s="4">
        <f t="shared" ca="1" si="2"/>
        <v>3</v>
      </c>
      <c r="I101" s="4" t="s">
        <v>178</v>
      </c>
      <c r="J101" s="4" t="s">
        <v>165</v>
      </c>
      <c r="K101" s="4" t="s">
        <v>165</v>
      </c>
      <c r="L101" s="4" t="s">
        <v>170</v>
      </c>
      <c r="M101" s="4">
        <v>4</v>
      </c>
      <c r="N101" s="4">
        <f t="shared" ca="1" si="3"/>
        <v>0</v>
      </c>
    </row>
    <row r="102" spans="1:14" x14ac:dyDescent="0.25">
      <c r="A102" s="4">
        <v>101</v>
      </c>
      <c r="B102" s="4" t="s">
        <v>180</v>
      </c>
      <c r="C102" s="4" t="s">
        <v>169</v>
      </c>
      <c r="D102" s="4" t="s">
        <v>166</v>
      </c>
      <c r="E102" s="4" t="s">
        <v>165</v>
      </c>
      <c r="F102" s="4" t="s">
        <v>176</v>
      </c>
      <c r="G102" s="4" t="s">
        <v>181</v>
      </c>
      <c r="H102" s="4">
        <f t="shared" ca="1" si="2"/>
        <v>3</v>
      </c>
      <c r="I102" s="4">
        <v>1</v>
      </c>
      <c r="J102" s="4" t="s">
        <v>165</v>
      </c>
      <c r="K102" s="4" t="s">
        <v>169</v>
      </c>
      <c r="L102" s="4" t="s">
        <v>170</v>
      </c>
      <c r="M102" s="4">
        <v>10</v>
      </c>
      <c r="N102" s="4">
        <f t="shared" ca="1" si="3"/>
        <v>2</v>
      </c>
    </row>
    <row r="103" spans="1:14" x14ac:dyDescent="0.25">
      <c r="A103" s="4">
        <v>102</v>
      </c>
      <c r="B103" s="4" t="s">
        <v>164</v>
      </c>
      <c r="C103" s="4" t="s">
        <v>169</v>
      </c>
      <c r="D103" s="4" t="s">
        <v>179</v>
      </c>
      <c r="E103" s="4" t="s">
        <v>165</v>
      </c>
      <c r="F103" s="4" t="s">
        <v>173</v>
      </c>
      <c r="G103" s="4" t="s">
        <v>173</v>
      </c>
      <c r="H103" s="4">
        <f t="shared" ca="1" si="2"/>
        <v>3</v>
      </c>
      <c r="I103" s="4">
        <v>0</v>
      </c>
      <c r="J103" s="4" t="s">
        <v>169</v>
      </c>
      <c r="K103" s="4" t="s">
        <v>165</v>
      </c>
      <c r="L103" s="4" t="s">
        <v>176</v>
      </c>
      <c r="M103" s="4">
        <v>12</v>
      </c>
      <c r="N103" s="4">
        <f t="shared" ca="1" si="3"/>
        <v>0</v>
      </c>
    </row>
    <row r="104" spans="1:14" x14ac:dyDescent="0.25">
      <c r="A104" s="4">
        <v>103</v>
      </c>
      <c r="B104" s="4" t="s">
        <v>175</v>
      </c>
      <c r="C104" s="4" t="s">
        <v>165</v>
      </c>
      <c r="D104" s="4" t="s">
        <v>164</v>
      </c>
      <c r="E104" s="4" t="s">
        <v>169</v>
      </c>
      <c r="F104" s="4" t="s">
        <v>167</v>
      </c>
      <c r="G104" s="4" t="s">
        <v>167</v>
      </c>
      <c r="H104" s="4">
        <f t="shared" ca="1" si="2"/>
        <v>2</v>
      </c>
      <c r="I104" s="4" t="s">
        <v>178</v>
      </c>
      <c r="J104" s="4" t="s">
        <v>165</v>
      </c>
      <c r="K104" s="4" t="s">
        <v>169</v>
      </c>
      <c r="L104" s="4" t="s">
        <v>176</v>
      </c>
      <c r="M104" s="4">
        <v>12</v>
      </c>
      <c r="N104" s="4">
        <f t="shared" ca="1" si="3"/>
        <v>1</v>
      </c>
    </row>
    <row r="105" spans="1:14" x14ac:dyDescent="0.25">
      <c r="A105" s="4">
        <v>104</v>
      </c>
      <c r="B105" s="4" t="s">
        <v>164</v>
      </c>
      <c r="C105" s="4" t="s">
        <v>165</v>
      </c>
      <c r="D105" s="4" t="s">
        <v>164</v>
      </c>
      <c r="E105" s="4" t="s">
        <v>165</v>
      </c>
      <c r="F105" s="4" t="s">
        <v>176</v>
      </c>
      <c r="G105" s="4" t="s">
        <v>177</v>
      </c>
      <c r="H105" s="4">
        <f t="shared" ca="1" si="2"/>
        <v>3</v>
      </c>
      <c r="I105" s="4">
        <v>1</v>
      </c>
      <c r="J105" s="4" t="s">
        <v>169</v>
      </c>
      <c r="K105" s="4" t="s">
        <v>165</v>
      </c>
      <c r="L105" s="4" t="s">
        <v>170</v>
      </c>
      <c r="M105" s="4">
        <v>4</v>
      </c>
      <c r="N105" s="4">
        <f t="shared" ca="1" si="3"/>
        <v>2</v>
      </c>
    </row>
    <row r="106" spans="1:14" x14ac:dyDescent="0.25">
      <c r="A106" s="4">
        <v>105</v>
      </c>
      <c r="B106" s="4" t="s">
        <v>164</v>
      </c>
      <c r="C106" s="4" t="s">
        <v>169</v>
      </c>
      <c r="D106" s="4" t="s">
        <v>179</v>
      </c>
      <c r="E106" s="4" t="s">
        <v>165</v>
      </c>
      <c r="F106" s="4" t="s">
        <v>176</v>
      </c>
      <c r="G106" s="4" t="s">
        <v>181</v>
      </c>
      <c r="H106" s="4">
        <f t="shared" ca="1" si="2"/>
        <v>3</v>
      </c>
      <c r="I106" s="4">
        <v>1</v>
      </c>
      <c r="J106" s="4" t="s">
        <v>169</v>
      </c>
      <c r="K106" s="4" t="s">
        <v>169</v>
      </c>
      <c r="L106" s="4" t="s">
        <v>170</v>
      </c>
      <c r="M106" s="4">
        <v>7</v>
      </c>
      <c r="N106" s="4">
        <f t="shared" ca="1" si="3"/>
        <v>1</v>
      </c>
    </row>
    <row r="107" spans="1:14" x14ac:dyDescent="0.25">
      <c r="A107" s="4">
        <v>106</v>
      </c>
      <c r="B107" s="4" t="s">
        <v>175</v>
      </c>
      <c r="C107" s="4" t="s">
        <v>169</v>
      </c>
      <c r="D107" s="4" t="s">
        <v>166</v>
      </c>
      <c r="E107" s="4" t="s">
        <v>169</v>
      </c>
      <c r="F107" s="4" t="s">
        <v>176</v>
      </c>
      <c r="G107" s="4" t="s">
        <v>167</v>
      </c>
      <c r="H107" s="4">
        <f t="shared" ca="1" si="2"/>
        <v>2</v>
      </c>
      <c r="I107" s="4" t="s">
        <v>178</v>
      </c>
      <c r="J107" s="4" t="s">
        <v>169</v>
      </c>
      <c r="K107" s="4" t="s">
        <v>169</v>
      </c>
      <c r="L107" s="4" t="s">
        <v>170</v>
      </c>
      <c r="M107" s="4">
        <v>5</v>
      </c>
      <c r="N107" s="4">
        <f t="shared" ca="1" si="3"/>
        <v>0</v>
      </c>
    </row>
    <row r="108" spans="1:14" x14ac:dyDescent="0.25">
      <c r="A108" s="4">
        <v>107</v>
      </c>
      <c r="B108" s="4" t="s">
        <v>175</v>
      </c>
      <c r="C108" s="4" t="s">
        <v>165</v>
      </c>
      <c r="D108" s="4" t="s">
        <v>172</v>
      </c>
      <c r="E108" s="4" t="s">
        <v>169</v>
      </c>
      <c r="F108" s="4" t="s">
        <v>173</v>
      </c>
      <c r="G108" s="4" t="s">
        <v>173</v>
      </c>
      <c r="H108" s="4">
        <f t="shared" ca="1" si="2"/>
        <v>2</v>
      </c>
      <c r="I108" s="4">
        <v>0</v>
      </c>
      <c r="J108" s="4" t="s">
        <v>165</v>
      </c>
      <c r="K108" s="4" t="s">
        <v>165</v>
      </c>
      <c r="L108" s="4" t="s">
        <v>176</v>
      </c>
      <c r="M108" s="4">
        <v>5</v>
      </c>
      <c r="N108" s="4">
        <f t="shared" ca="1" si="3"/>
        <v>2</v>
      </c>
    </row>
    <row r="109" spans="1:14" x14ac:dyDescent="0.25">
      <c r="A109" s="4">
        <v>108</v>
      </c>
      <c r="B109" s="4" t="s">
        <v>175</v>
      </c>
      <c r="C109" s="4" t="s">
        <v>165</v>
      </c>
      <c r="D109" s="4" t="s">
        <v>172</v>
      </c>
      <c r="E109" s="4" t="s">
        <v>165</v>
      </c>
      <c r="F109" s="4" t="s">
        <v>173</v>
      </c>
      <c r="G109" s="4" t="s">
        <v>173</v>
      </c>
      <c r="H109" s="4">
        <f t="shared" ca="1" si="2"/>
        <v>2</v>
      </c>
      <c r="I109" s="4">
        <v>2</v>
      </c>
      <c r="J109" s="4" t="s">
        <v>169</v>
      </c>
      <c r="K109" s="4" t="s">
        <v>169</v>
      </c>
      <c r="L109" s="4" t="s">
        <v>174</v>
      </c>
      <c r="M109" s="4">
        <v>8</v>
      </c>
      <c r="N109" s="4">
        <f t="shared" ca="1" si="3"/>
        <v>0</v>
      </c>
    </row>
    <row r="110" spans="1:14" x14ac:dyDescent="0.25">
      <c r="A110" s="4">
        <v>109</v>
      </c>
      <c r="B110" s="4" t="s">
        <v>175</v>
      </c>
      <c r="C110" s="4" t="s">
        <v>169</v>
      </c>
      <c r="D110" s="4" t="s">
        <v>166</v>
      </c>
      <c r="E110" s="4" t="s">
        <v>165</v>
      </c>
      <c r="F110" s="4" t="s">
        <v>176</v>
      </c>
      <c r="G110" s="4" t="s">
        <v>181</v>
      </c>
      <c r="H110" s="4">
        <f t="shared" ca="1" si="2"/>
        <v>2</v>
      </c>
      <c r="I110" s="4">
        <v>2</v>
      </c>
      <c r="J110" s="4" t="s">
        <v>165</v>
      </c>
      <c r="K110" s="4" t="s">
        <v>169</v>
      </c>
      <c r="L110" s="4" t="s">
        <v>170</v>
      </c>
      <c r="M110" s="4">
        <v>7</v>
      </c>
      <c r="N110" s="4">
        <f t="shared" ca="1" si="3"/>
        <v>1</v>
      </c>
    </row>
    <row r="111" spans="1:14" x14ac:dyDescent="0.25">
      <c r="A111" s="4">
        <v>110</v>
      </c>
      <c r="B111" s="4" t="s">
        <v>171</v>
      </c>
      <c r="C111" s="4" t="s">
        <v>165</v>
      </c>
      <c r="D111" s="4" t="s">
        <v>172</v>
      </c>
      <c r="E111" s="4" t="s">
        <v>165</v>
      </c>
      <c r="F111" s="4" t="s">
        <v>173</v>
      </c>
      <c r="G111" s="4" t="s">
        <v>173</v>
      </c>
      <c r="H111" s="4">
        <f t="shared" ca="1" si="2"/>
        <v>1</v>
      </c>
      <c r="I111" s="4">
        <v>0</v>
      </c>
      <c r="J111" s="4" t="s">
        <v>165</v>
      </c>
      <c r="K111" s="4" t="s">
        <v>169</v>
      </c>
      <c r="L111" s="4" t="s">
        <v>176</v>
      </c>
      <c r="M111" s="4">
        <v>10</v>
      </c>
      <c r="N111" s="4">
        <f t="shared" ca="1" si="3"/>
        <v>2</v>
      </c>
    </row>
    <row r="112" spans="1:14" x14ac:dyDescent="0.25">
      <c r="A112" s="4">
        <v>111</v>
      </c>
      <c r="B112" s="4" t="s">
        <v>164</v>
      </c>
      <c r="C112" s="4" t="s">
        <v>169</v>
      </c>
      <c r="D112" s="4" t="s">
        <v>179</v>
      </c>
      <c r="E112" s="4" t="s">
        <v>165</v>
      </c>
      <c r="F112" s="4" t="s">
        <v>176</v>
      </c>
      <c r="G112" s="4" t="s">
        <v>168</v>
      </c>
      <c r="H112" s="4">
        <f t="shared" ca="1" si="2"/>
        <v>2</v>
      </c>
      <c r="I112" s="4">
        <v>0</v>
      </c>
      <c r="J112" s="4" t="s">
        <v>169</v>
      </c>
      <c r="K112" s="4" t="s">
        <v>169</v>
      </c>
      <c r="L112" s="4" t="s">
        <v>174</v>
      </c>
      <c r="M112" s="4">
        <v>3</v>
      </c>
      <c r="N112" s="4">
        <f t="shared" ca="1" si="3"/>
        <v>0</v>
      </c>
    </row>
    <row r="113" spans="1:14" x14ac:dyDescent="0.25">
      <c r="A113" s="4">
        <v>112</v>
      </c>
      <c r="B113" s="4" t="s">
        <v>164</v>
      </c>
      <c r="C113" s="4" t="s">
        <v>165</v>
      </c>
      <c r="D113" s="4" t="s">
        <v>164</v>
      </c>
      <c r="E113" s="4" t="s">
        <v>165</v>
      </c>
      <c r="F113" s="4" t="s">
        <v>167</v>
      </c>
      <c r="G113" s="4" t="s">
        <v>177</v>
      </c>
      <c r="H113" s="4">
        <f t="shared" ca="1" si="2"/>
        <v>3</v>
      </c>
      <c r="I113" s="4">
        <v>1</v>
      </c>
      <c r="J113" s="4" t="s">
        <v>165</v>
      </c>
      <c r="K113" s="4" t="s">
        <v>169</v>
      </c>
      <c r="L113" s="4" t="s">
        <v>174</v>
      </c>
      <c r="M113" s="4">
        <v>6</v>
      </c>
      <c r="N113" s="4">
        <f t="shared" ca="1" si="3"/>
        <v>2</v>
      </c>
    </row>
    <row r="114" spans="1:14" x14ac:dyDescent="0.25">
      <c r="A114" s="4">
        <v>113</v>
      </c>
      <c r="B114" s="4" t="s">
        <v>180</v>
      </c>
      <c r="C114" s="4" t="s">
        <v>165</v>
      </c>
      <c r="D114" s="4" t="s">
        <v>166</v>
      </c>
      <c r="E114" s="4" t="s">
        <v>169</v>
      </c>
      <c r="F114" s="4" t="s">
        <v>176</v>
      </c>
      <c r="G114" s="4" t="s">
        <v>167</v>
      </c>
      <c r="H114" s="4">
        <f t="shared" ca="1" si="2"/>
        <v>2</v>
      </c>
      <c r="I114" s="4">
        <v>1</v>
      </c>
      <c r="J114" s="4" t="s">
        <v>165</v>
      </c>
      <c r="K114" s="4" t="s">
        <v>169</v>
      </c>
      <c r="L114" s="4" t="s">
        <v>176</v>
      </c>
      <c r="M114" s="4">
        <v>9</v>
      </c>
      <c r="N114" s="4">
        <f t="shared" ca="1" si="3"/>
        <v>0</v>
      </c>
    </row>
    <row r="115" spans="1:14" x14ac:dyDescent="0.25">
      <c r="A115" s="4">
        <v>114</v>
      </c>
      <c r="B115" s="4" t="s">
        <v>164</v>
      </c>
      <c r="C115" s="4" t="s">
        <v>165</v>
      </c>
      <c r="D115" s="4" t="s">
        <v>172</v>
      </c>
      <c r="E115" s="4" t="s">
        <v>169</v>
      </c>
      <c r="F115" s="4" t="s">
        <v>173</v>
      </c>
      <c r="G115" s="4" t="s">
        <v>173</v>
      </c>
      <c r="H115" s="4">
        <f t="shared" ca="1" si="2"/>
        <v>1</v>
      </c>
      <c r="I115" s="4">
        <v>1</v>
      </c>
      <c r="J115" s="4" t="s">
        <v>165</v>
      </c>
      <c r="K115" s="4" t="s">
        <v>165</v>
      </c>
      <c r="L115" s="4" t="s">
        <v>174</v>
      </c>
      <c r="M115" s="4">
        <v>10</v>
      </c>
      <c r="N115" s="4">
        <f t="shared" ca="1" si="3"/>
        <v>0</v>
      </c>
    </row>
    <row r="116" spans="1:14" x14ac:dyDescent="0.25">
      <c r="A116" s="4">
        <v>115</v>
      </c>
      <c r="B116" s="4" t="s">
        <v>171</v>
      </c>
      <c r="C116" s="4" t="s">
        <v>169</v>
      </c>
      <c r="D116" s="4" t="s">
        <v>166</v>
      </c>
      <c r="E116" s="4" t="s">
        <v>165</v>
      </c>
      <c r="F116" s="4" t="s">
        <v>167</v>
      </c>
      <c r="G116" s="4" t="s">
        <v>181</v>
      </c>
      <c r="H116" s="4">
        <f t="shared" ca="1" si="2"/>
        <v>3</v>
      </c>
      <c r="I116" s="4">
        <v>0</v>
      </c>
      <c r="J116" s="4" t="s">
        <v>165</v>
      </c>
      <c r="K116" s="4" t="s">
        <v>169</v>
      </c>
      <c r="L116" s="4" t="s">
        <v>170</v>
      </c>
      <c r="M116" s="4">
        <v>5</v>
      </c>
      <c r="N116" s="4">
        <f t="shared" ca="1" si="3"/>
        <v>1</v>
      </c>
    </row>
    <row r="117" spans="1:14" x14ac:dyDescent="0.25">
      <c r="A117" s="4">
        <v>116</v>
      </c>
      <c r="B117" s="4" t="s">
        <v>171</v>
      </c>
      <c r="C117" s="4" t="s">
        <v>169</v>
      </c>
      <c r="D117" s="4" t="s">
        <v>164</v>
      </c>
      <c r="E117" s="4" t="s">
        <v>169</v>
      </c>
      <c r="F117" s="4" t="s">
        <v>173</v>
      </c>
      <c r="G117" s="4" t="s">
        <v>173</v>
      </c>
      <c r="H117" s="4">
        <f t="shared" ca="1" si="2"/>
        <v>1</v>
      </c>
      <c r="I117" s="4" t="s">
        <v>178</v>
      </c>
      <c r="J117" s="4" t="s">
        <v>169</v>
      </c>
      <c r="K117" s="4" t="s">
        <v>169</v>
      </c>
      <c r="L117" s="4" t="s">
        <v>174</v>
      </c>
      <c r="M117" s="4">
        <v>4</v>
      </c>
      <c r="N117" s="4">
        <f t="shared" ca="1" si="3"/>
        <v>0</v>
      </c>
    </row>
    <row r="118" spans="1:14" x14ac:dyDescent="0.25">
      <c r="A118" s="4">
        <v>117</v>
      </c>
      <c r="B118" s="4" t="s">
        <v>164</v>
      </c>
      <c r="C118" s="4" t="s">
        <v>165</v>
      </c>
      <c r="D118" s="4" t="s">
        <v>172</v>
      </c>
      <c r="E118" s="4" t="s">
        <v>169</v>
      </c>
      <c r="F118" s="4" t="s">
        <v>173</v>
      </c>
      <c r="G118" s="4" t="s">
        <v>173</v>
      </c>
      <c r="H118" s="4">
        <f t="shared" ca="1" si="2"/>
        <v>1</v>
      </c>
      <c r="I118" s="4">
        <v>1</v>
      </c>
      <c r="J118" s="4" t="s">
        <v>165</v>
      </c>
      <c r="K118" s="4" t="s">
        <v>169</v>
      </c>
      <c r="L118" s="4" t="s">
        <v>176</v>
      </c>
      <c r="M118" s="4">
        <v>4</v>
      </c>
      <c r="N118" s="4">
        <f t="shared" ca="1" si="3"/>
        <v>1</v>
      </c>
    </row>
    <row r="119" spans="1:14" x14ac:dyDescent="0.25">
      <c r="A119" s="4">
        <v>118</v>
      </c>
      <c r="B119" s="4" t="s">
        <v>164</v>
      </c>
      <c r="C119" s="4" t="s">
        <v>165</v>
      </c>
      <c r="D119" s="4" t="s">
        <v>164</v>
      </c>
      <c r="E119" s="4" t="s">
        <v>165</v>
      </c>
      <c r="F119" s="4" t="s">
        <v>176</v>
      </c>
      <c r="G119" s="4" t="s">
        <v>177</v>
      </c>
      <c r="H119" s="4">
        <f t="shared" ca="1" si="2"/>
        <v>2</v>
      </c>
      <c r="I119" s="4">
        <v>2</v>
      </c>
      <c r="J119" s="4" t="s">
        <v>165</v>
      </c>
      <c r="K119" s="4" t="s">
        <v>169</v>
      </c>
      <c r="L119" s="4" t="s">
        <v>170</v>
      </c>
      <c r="M119" s="4">
        <v>3</v>
      </c>
      <c r="N119" s="4">
        <f t="shared" ca="1" si="3"/>
        <v>2</v>
      </c>
    </row>
    <row r="120" spans="1:14" x14ac:dyDescent="0.25">
      <c r="A120" s="4">
        <v>119</v>
      </c>
      <c r="B120" s="4" t="s">
        <v>175</v>
      </c>
      <c r="C120" s="4" t="s">
        <v>169</v>
      </c>
      <c r="D120" s="4" t="s">
        <v>164</v>
      </c>
      <c r="E120" s="4" t="s">
        <v>169</v>
      </c>
      <c r="F120" s="4" t="s">
        <v>173</v>
      </c>
      <c r="G120" s="4" t="s">
        <v>173</v>
      </c>
      <c r="H120" s="4">
        <f t="shared" ca="1" si="2"/>
        <v>0</v>
      </c>
      <c r="I120" s="4">
        <v>1</v>
      </c>
      <c r="J120" s="4" t="s">
        <v>165</v>
      </c>
      <c r="K120" s="4" t="s">
        <v>169</v>
      </c>
      <c r="L120" s="4" t="s">
        <v>176</v>
      </c>
      <c r="M120" s="4">
        <v>2</v>
      </c>
      <c r="N120" s="4">
        <f t="shared" ca="1" si="3"/>
        <v>1</v>
      </c>
    </row>
    <row r="121" spans="1:14" x14ac:dyDescent="0.25">
      <c r="A121" s="4">
        <v>120</v>
      </c>
      <c r="B121" s="4" t="s">
        <v>171</v>
      </c>
      <c r="C121" s="4" t="s">
        <v>169</v>
      </c>
      <c r="D121" s="4" t="s">
        <v>164</v>
      </c>
      <c r="E121" s="4" t="s">
        <v>169</v>
      </c>
      <c r="F121" s="4" t="s">
        <v>173</v>
      </c>
      <c r="G121" s="4" t="s">
        <v>173</v>
      </c>
      <c r="H121" s="4">
        <f t="shared" ca="1" si="2"/>
        <v>1</v>
      </c>
      <c r="I121" s="4">
        <v>1</v>
      </c>
      <c r="J121" s="4" t="s">
        <v>169</v>
      </c>
      <c r="K121" s="4" t="s">
        <v>169</v>
      </c>
      <c r="L121" s="4" t="s">
        <v>170</v>
      </c>
      <c r="M121" s="4">
        <v>5</v>
      </c>
      <c r="N121" s="4">
        <f t="shared" ca="1" si="3"/>
        <v>1</v>
      </c>
    </row>
    <row r="122" spans="1:14" x14ac:dyDescent="0.25">
      <c r="A122" s="4">
        <v>121</v>
      </c>
      <c r="B122" s="4" t="s">
        <v>180</v>
      </c>
      <c r="C122" s="4" t="s">
        <v>165</v>
      </c>
      <c r="D122" s="4" t="s">
        <v>164</v>
      </c>
      <c r="E122" s="4" t="s">
        <v>169</v>
      </c>
      <c r="F122" s="4" t="s">
        <v>167</v>
      </c>
      <c r="G122" s="4" t="s">
        <v>181</v>
      </c>
      <c r="H122" s="4">
        <f t="shared" ca="1" si="2"/>
        <v>3</v>
      </c>
      <c r="I122" s="4">
        <v>0</v>
      </c>
      <c r="J122" s="4" t="s">
        <v>165</v>
      </c>
      <c r="K122" s="4" t="s">
        <v>165</v>
      </c>
      <c r="L122" s="4" t="s">
        <v>176</v>
      </c>
      <c r="M122" s="4">
        <v>3</v>
      </c>
      <c r="N122" s="4">
        <f t="shared" ca="1" si="3"/>
        <v>0</v>
      </c>
    </row>
    <row r="123" spans="1:14" x14ac:dyDescent="0.25">
      <c r="A123" s="4">
        <v>122</v>
      </c>
      <c r="B123" s="4" t="s">
        <v>180</v>
      </c>
      <c r="C123" s="4" t="s">
        <v>169</v>
      </c>
      <c r="D123" s="4" t="s">
        <v>164</v>
      </c>
      <c r="E123" s="4" t="s">
        <v>165</v>
      </c>
      <c r="F123" s="4" t="s">
        <v>173</v>
      </c>
      <c r="G123" s="4" t="s">
        <v>173</v>
      </c>
      <c r="H123" s="4">
        <f t="shared" ca="1" si="2"/>
        <v>3</v>
      </c>
      <c r="I123" s="4" t="s">
        <v>178</v>
      </c>
      <c r="J123" s="4" t="s">
        <v>169</v>
      </c>
      <c r="K123" s="4" t="s">
        <v>165</v>
      </c>
      <c r="L123" s="4" t="s">
        <v>176</v>
      </c>
      <c r="M123" s="4">
        <v>9</v>
      </c>
      <c r="N123" s="4">
        <f t="shared" ca="1" si="3"/>
        <v>0</v>
      </c>
    </row>
    <row r="124" spans="1:14" x14ac:dyDescent="0.25">
      <c r="A124" s="4">
        <v>123</v>
      </c>
      <c r="B124" s="4" t="s">
        <v>175</v>
      </c>
      <c r="C124" s="4" t="s">
        <v>165</v>
      </c>
      <c r="D124" s="4" t="s">
        <v>179</v>
      </c>
      <c r="E124" s="4" t="s">
        <v>165</v>
      </c>
      <c r="F124" s="4" t="s">
        <v>176</v>
      </c>
      <c r="G124" s="4" t="s">
        <v>167</v>
      </c>
      <c r="H124" s="4">
        <f t="shared" ca="1" si="2"/>
        <v>2</v>
      </c>
      <c r="I124" s="4">
        <v>2</v>
      </c>
      <c r="J124" s="4" t="s">
        <v>169</v>
      </c>
      <c r="K124" s="4" t="s">
        <v>165</v>
      </c>
      <c r="L124" s="4" t="s">
        <v>170</v>
      </c>
      <c r="M124" s="4">
        <v>8</v>
      </c>
      <c r="N124" s="4">
        <f t="shared" ca="1" si="3"/>
        <v>1</v>
      </c>
    </row>
    <row r="125" spans="1:14" x14ac:dyDescent="0.25">
      <c r="A125" s="4">
        <v>124</v>
      </c>
      <c r="B125" s="4" t="s">
        <v>180</v>
      </c>
      <c r="C125" s="4" t="s">
        <v>169</v>
      </c>
      <c r="D125" s="4" t="s">
        <v>172</v>
      </c>
      <c r="E125" s="4" t="s">
        <v>165</v>
      </c>
      <c r="F125" s="4" t="s">
        <v>173</v>
      </c>
      <c r="G125" s="4" t="s">
        <v>173</v>
      </c>
      <c r="H125" s="4">
        <f t="shared" ca="1" si="2"/>
        <v>1</v>
      </c>
      <c r="I125" s="4" t="s">
        <v>178</v>
      </c>
      <c r="J125" s="4" t="s">
        <v>165</v>
      </c>
      <c r="K125" s="4" t="s">
        <v>169</v>
      </c>
      <c r="L125" s="4" t="s">
        <v>170</v>
      </c>
      <c r="M125" s="4">
        <v>9</v>
      </c>
      <c r="N125" s="4">
        <f t="shared" ca="1" si="3"/>
        <v>2</v>
      </c>
    </row>
    <row r="126" spans="1:14" x14ac:dyDescent="0.25">
      <c r="A126" s="4">
        <v>125</v>
      </c>
      <c r="B126" s="4" t="s">
        <v>180</v>
      </c>
      <c r="C126" s="4" t="s">
        <v>165</v>
      </c>
      <c r="D126" s="4" t="s">
        <v>166</v>
      </c>
      <c r="E126" s="4" t="s">
        <v>169</v>
      </c>
      <c r="F126" s="4" t="s">
        <v>167</v>
      </c>
      <c r="G126" s="4" t="s">
        <v>168</v>
      </c>
      <c r="H126" s="4">
        <f t="shared" ca="1" si="2"/>
        <v>0</v>
      </c>
      <c r="I126" s="4">
        <v>0</v>
      </c>
      <c r="J126" s="4" t="s">
        <v>169</v>
      </c>
      <c r="K126" s="4" t="s">
        <v>165</v>
      </c>
      <c r="L126" s="4" t="s">
        <v>170</v>
      </c>
      <c r="M126" s="4">
        <v>12</v>
      </c>
      <c r="N126" s="4">
        <f t="shared" ca="1" si="3"/>
        <v>2</v>
      </c>
    </row>
    <row r="127" spans="1:14" x14ac:dyDescent="0.25">
      <c r="A127" s="4">
        <v>126</v>
      </c>
      <c r="B127" s="4" t="s">
        <v>175</v>
      </c>
      <c r="C127" s="4" t="s">
        <v>165</v>
      </c>
      <c r="D127" s="4" t="s">
        <v>166</v>
      </c>
      <c r="E127" s="4" t="s">
        <v>169</v>
      </c>
      <c r="F127" s="4" t="s">
        <v>167</v>
      </c>
      <c r="G127" s="4" t="s">
        <v>168</v>
      </c>
      <c r="H127" s="4">
        <f t="shared" ca="1" si="2"/>
        <v>0</v>
      </c>
      <c r="I127" s="4">
        <v>1</v>
      </c>
      <c r="J127" s="4" t="s">
        <v>169</v>
      </c>
      <c r="K127" s="4" t="s">
        <v>169</v>
      </c>
      <c r="L127" s="4" t="s">
        <v>174</v>
      </c>
      <c r="M127" s="4">
        <v>12</v>
      </c>
      <c r="N127" s="4">
        <f t="shared" ca="1" si="3"/>
        <v>2</v>
      </c>
    </row>
    <row r="128" spans="1:14" x14ac:dyDescent="0.25">
      <c r="A128" s="4">
        <v>127</v>
      </c>
      <c r="B128" s="4" t="s">
        <v>175</v>
      </c>
      <c r="C128" s="4" t="s">
        <v>165</v>
      </c>
      <c r="D128" s="4" t="s">
        <v>179</v>
      </c>
      <c r="E128" s="4" t="s">
        <v>169</v>
      </c>
      <c r="F128" s="4" t="s">
        <v>167</v>
      </c>
      <c r="G128" s="4" t="s">
        <v>177</v>
      </c>
      <c r="H128" s="4">
        <f t="shared" ca="1" si="2"/>
        <v>0</v>
      </c>
      <c r="I128" s="4">
        <v>1</v>
      </c>
      <c r="J128" s="4" t="s">
        <v>165</v>
      </c>
      <c r="K128" s="4" t="s">
        <v>169</v>
      </c>
      <c r="L128" s="4" t="s">
        <v>170</v>
      </c>
      <c r="M128" s="4">
        <v>10</v>
      </c>
      <c r="N128" s="4">
        <f t="shared" ca="1" si="3"/>
        <v>0</v>
      </c>
    </row>
    <row r="129" spans="1:14" x14ac:dyDescent="0.25">
      <c r="A129" s="4">
        <v>128</v>
      </c>
      <c r="B129" s="4" t="s">
        <v>175</v>
      </c>
      <c r="C129" s="4" t="s">
        <v>165</v>
      </c>
      <c r="D129" s="4" t="s">
        <v>164</v>
      </c>
      <c r="E129" s="4" t="s">
        <v>165</v>
      </c>
      <c r="F129" s="4" t="s">
        <v>176</v>
      </c>
      <c r="G129" s="4" t="s">
        <v>167</v>
      </c>
      <c r="H129" s="4">
        <f t="shared" ca="1" si="2"/>
        <v>1</v>
      </c>
      <c r="I129" s="4" t="s">
        <v>178</v>
      </c>
      <c r="J129" s="4" t="s">
        <v>165</v>
      </c>
      <c r="K129" s="4" t="s">
        <v>165</v>
      </c>
      <c r="L129" s="4" t="s">
        <v>176</v>
      </c>
      <c r="M129" s="4">
        <v>6</v>
      </c>
      <c r="N129" s="4">
        <f t="shared" ca="1" si="3"/>
        <v>1</v>
      </c>
    </row>
    <row r="130" spans="1:14" x14ac:dyDescent="0.25">
      <c r="A130" s="4">
        <v>129</v>
      </c>
      <c r="B130" s="4" t="s">
        <v>180</v>
      </c>
      <c r="C130" s="4" t="s">
        <v>169</v>
      </c>
      <c r="D130" s="4" t="s">
        <v>164</v>
      </c>
      <c r="E130" s="4" t="s">
        <v>165</v>
      </c>
      <c r="F130" s="4" t="s">
        <v>167</v>
      </c>
      <c r="G130" s="4" t="s">
        <v>168</v>
      </c>
      <c r="H130" s="4">
        <f t="shared" ca="1" si="2"/>
        <v>1</v>
      </c>
      <c r="I130" s="4">
        <v>0</v>
      </c>
      <c r="J130" s="4" t="s">
        <v>169</v>
      </c>
      <c r="K130" s="4" t="s">
        <v>169</v>
      </c>
      <c r="L130" s="4" t="s">
        <v>174</v>
      </c>
      <c r="M130" s="4">
        <v>3</v>
      </c>
      <c r="N130" s="4">
        <f t="shared" ca="1" si="3"/>
        <v>1</v>
      </c>
    </row>
    <row r="131" spans="1:14" x14ac:dyDescent="0.25">
      <c r="A131" s="4">
        <v>130</v>
      </c>
      <c r="B131" s="4" t="s">
        <v>175</v>
      </c>
      <c r="C131" s="4" t="s">
        <v>169</v>
      </c>
      <c r="D131" s="4" t="s">
        <v>220</v>
      </c>
      <c r="E131" s="4" t="s">
        <v>169</v>
      </c>
      <c r="F131" s="4" t="s">
        <v>173</v>
      </c>
      <c r="G131" s="4" t="s">
        <v>173</v>
      </c>
      <c r="H131" s="4">
        <f t="shared" ref="H131:H151" ca="1" si="4">RANDBETWEEN(0,3)</f>
        <v>3</v>
      </c>
      <c r="I131" s="4" t="s">
        <v>178</v>
      </c>
      <c r="J131" s="4" t="s">
        <v>169</v>
      </c>
      <c r="K131" s="4" t="s">
        <v>165</v>
      </c>
      <c r="L131" s="4" t="s">
        <v>176</v>
      </c>
      <c r="M131" s="4">
        <v>4</v>
      </c>
      <c r="N131" s="4">
        <f t="shared" ref="N131:N151" ca="1" si="5">RANDBETWEEN(0,2)</f>
        <v>2</v>
      </c>
    </row>
    <row r="132" spans="1:14" x14ac:dyDescent="0.25">
      <c r="A132" s="4">
        <v>131</v>
      </c>
      <c r="B132" s="4" t="s">
        <v>171</v>
      </c>
      <c r="C132" s="4" t="s">
        <v>169</v>
      </c>
      <c r="D132" s="4" t="s">
        <v>179</v>
      </c>
      <c r="E132" s="4" t="s">
        <v>165</v>
      </c>
      <c r="F132" s="4" t="s">
        <v>167</v>
      </c>
      <c r="G132" s="4" t="s">
        <v>167</v>
      </c>
      <c r="H132" s="4">
        <f t="shared" ca="1" si="4"/>
        <v>1</v>
      </c>
      <c r="I132" s="4" t="s">
        <v>178</v>
      </c>
      <c r="J132" s="4" t="s">
        <v>165</v>
      </c>
      <c r="K132" s="4" t="s">
        <v>169</v>
      </c>
      <c r="L132" s="4" t="s">
        <v>174</v>
      </c>
      <c r="M132" s="4">
        <v>9</v>
      </c>
      <c r="N132" s="4">
        <f t="shared" ca="1" si="5"/>
        <v>0</v>
      </c>
    </row>
    <row r="133" spans="1:14" x14ac:dyDescent="0.25">
      <c r="A133" s="4">
        <v>132</v>
      </c>
      <c r="B133" s="4" t="s">
        <v>180</v>
      </c>
      <c r="C133" s="4" t="s">
        <v>169</v>
      </c>
      <c r="D133" s="4" t="s">
        <v>179</v>
      </c>
      <c r="E133" s="4" t="s">
        <v>165</v>
      </c>
      <c r="F133" s="4" t="s">
        <v>173</v>
      </c>
      <c r="G133" s="4" t="s">
        <v>173</v>
      </c>
      <c r="H133" s="4">
        <f t="shared" ca="1" si="4"/>
        <v>2</v>
      </c>
      <c r="I133" s="4">
        <v>1</v>
      </c>
      <c r="J133" s="4" t="s">
        <v>169</v>
      </c>
      <c r="K133" s="4" t="s">
        <v>169</v>
      </c>
      <c r="L133" s="4" t="s">
        <v>170</v>
      </c>
      <c r="M133" s="4">
        <v>10</v>
      </c>
      <c r="N133" s="4">
        <f t="shared" ca="1" si="5"/>
        <v>0</v>
      </c>
    </row>
    <row r="134" spans="1:14" x14ac:dyDescent="0.25">
      <c r="A134" s="4">
        <v>133</v>
      </c>
      <c r="B134" s="4" t="s">
        <v>171</v>
      </c>
      <c r="C134" s="4" t="s">
        <v>169</v>
      </c>
      <c r="D134" s="4" t="s">
        <v>164</v>
      </c>
      <c r="E134" s="4" t="s">
        <v>169</v>
      </c>
      <c r="F134" s="4" t="s">
        <v>173</v>
      </c>
      <c r="G134" s="4" t="s">
        <v>173</v>
      </c>
      <c r="H134" s="4">
        <f t="shared" ca="1" si="4"/>
        <v>1</v>
      </c>
      <c r="I134" s="4">
        <v>0</v>
      </c>
      <c r="J134" s="4" t="s">
        <v>165</v>
      </c>
      <c r="K134" s="4" t="s">
        <v>165</v>
      </c>
      <c r="L134" s="4" t="s">
        <v>170</v>
      </c>
      <c r="M134" s="4">
        <v>4</v>
      </c>
      <c r="N134" s="4">
        <f t="shared" ca="1" si="5"/>
        <v>1</v>
      </c>
    </row>
    <row r="135" spans="1:14" x14ac:dyDescent="0.25">
      <c r="A135" s="4">
        <v>134</v>
      </c>
      <c r="B135" s="4" t="s">
        <v>164</v>
      </c>
      <c r="C135" s="4" t="s">
        <v>165</v>
      </c>
      <c r="D135" s="4" t="s">
        <v>220</v>
      </c>
      <c r="E135" s="4" t="s">
        <v>169</v>
      </c>
      <c r="F135" s="4" t="s">
        <v>173</v>
      </c>
      <c r="G135" s="4" t="s">
        <v>173</v>
      </c>
      <c r="H135" s="4">
        <f t="shared" ca="1" si="4"/>
        <v>0</v>
      </c>
      <c r="I135" s="4">
        <v>2</v>
      </c>
      <c r="J135" s="4" t="s">
        <v>169</v>
      </c>
      <c r="K135" s="4" t="s">
        <v>169</v>
      </c>
      <c r="L135" s="4" t="s">
        <v>176</v>
      </c>
      <c r="M135" s="4">
        <v>10</v>
      </c>
      <c r="N135" s="4">
        <f t="shared" ca="1" si="5"/>
        <v>2</v>
      </c>
    </row>
    <row r="136" spans="1:14" x14ac:dyDescent="0.25">
      <c r="A136" s="4">
        <v>135</v>
      </c>
      <c r="B136" s="4" t="s">
        <v>180</v>
      </c>
      <c r="C136" s="4" t="s">
        <v>169</v>
      </c>
      <c r="D136" s="4" t="s">
        <v>166</v>
      </c>
      <c r="E136" s="4" t="s">
        <v>169</v>
      </c>
      <c r="F136" s="4" t="s">
        <v>176</v>
      </c>
      <c r="G136" s="4" t="s">
        <v>181</v>
      </c>
      <c r="H136" s="4">
        <f t="shared" ca="1" si="4"/>
        <v>2</v>
      </c>
      <c r="I136" s="4">
        <v>0</v>
      </c>
      <c r="J136" s="4" t="s">
        <v>165</v>
      </c>
      <c r="K136" s="4" t="s">
        <v>169</v>
      </c>
      <c r="L136" s="4" t="s">
        <v>176</v>
      </c>
      <c r="M136" s="4">
        <v>3</v>
      </c>
      <c r="N136" s="4">
        <f t="shared" ca="1" si="5"/>
        <v>2</v>
      </c>
    </row>
    <row r="137" spans="1:14" x14ac:dyDescent="0.25">
      <c r="A137" s="4">
        <v>136</v>
      </c>
      <c r="B137" s="4" t="s">
        <v>175</v>
      </c>
      <c r="C137" s="4" t="s">
        <v>165</v>
      </c>
      <c r="D137" s="4" t="s">
        <v>164</v>
      </c>
      <c r="E137" s="4" t="s">
        <v>165</v>
      </c>
      <c r="F137" s="4" t="s">
        <v>176</v>
      </c>
      <c r="G137" s="4" t="s">
        <v>168</v>
      </c>
      <c r="H137" s="4">
        <f t="shared" ca="1" si="4"/>
        <v>0</v>
      </c>
      <c r="I137" s="4">
        <v>1</v>
      </c>
      <c r="J137" s="4" t="s">
        <v>165</v>
      </c>
      <c r="K137" s="4" t="s">
        <v>169</v>
      </c>
      <c r="L137" s="4" t="s">
        <v>174</v>
      </c>
      <c r="M137" s="4">
        <v>8</v>
      </c>
      <c r="N137" s="4">
        <f t="shared" ca="1" si="5"/>
        <v>0</v>
      </c>
    </row>
    <row r="138" spans="1:14" x14ac:dyDescent="0.25">
      <c r="A138" s="4">
        <v>137</v>
      </c>
      <c r="B138" s="4" t="s">
        <v>180</v>
      </c>
      <c r="C138" s="4" t="s">
        <v>165</v>
      </c>
      <c r="D138" s="4" t="s">
        <v>164</v>
      </c>
      <c r="E138" s="4" t="s">
        <v>169</v>
      </c>
      <c r="F138" s="4" t="s">
        <v>176</v>
      </c>
      <c r="G138" s="4" t="s">
        <v>177</v>
      </c>
      <c r="H138" s="4">
        <f t="shared" ca="1" si="4"/>
        <v>2</v>
      </c>
      <c r="I138" s="4" t="s">
        <v>178</v>
      </c>
      <c r="J138" s="4" t="s">
        <v>165</v>
      </c>
      <c r="K138" s="4" t="s">
        <v>169</v>
      </c>
      <c r="L138" s="4" t="s">
        <v>170</v>
      </c>
      <c r="M138" s="4">
        <v>12</v>
      </c>
      <c r="N138" s="4">
        <f t="shared" ca="1" si="5"/>
        <v>2</v>
      </c>
    </row>
    <row r="139" spans="1:14" x14ac:dyDescent="0.25">
      <c r="A139" s="4">
        <v>138</v>
      </c>
      <c r="B139" s="4" t="s">
        <v>175</v>
      </c>
      <c r="C139" s="4" t="s">
        <v>169</v>
      </c>
      <c r="D139" s="4" t="s">
        <v>166</v>
      </c>
      <c r="E139" s="4" t="s">
        <v>165</v>
      </c>
      <c r="F139" s="4" t="s">
        <v>176</v>
      </c>
      <c r="G139" s="4" t="s">
        <v>177</v>
      </c>
      <c r="H139" s="4">
        <f t="shared" ca="1" si="4"/>
        <v>0</v>
      </c>
      <c r="I139" s="4">
        <v>1</v>
      </c>
      <c r="J139" s="4" t="s">
        <v>169</v>
      </c>
      <c r="K139" s="4" t="s">
        <v>169</v>
      </c>
      <c r="L139" s="4" t="s">
        <v>174</v>
      </c>
      <c r="M139" s="4">
        <v>9</v>
      </c>
      <c r="N139" s="4">
        <f t="shared" ca="1" si="5"/>
        <v>2</v>
      </c>
    </row>
    <row r="140" spans="1:14" x14ac:dyDescent="0.25">
      <c r="A140" s="4">
        <v>139</v>
      </c>
      <c r="B140" s="4" t="s">
        <v>180</v>
      </c>
      <c r="C140" s="4" t="s">
        <v>165</v>
      </c>
      <c r="D140" s="4" t="s">
        <v>172</v>
      </c>
      <c r="E140" s="4" t="s">
        <v>165</v>
      </c>
      <c r="F140" s="4" t="s">
        <v>173</v>
      </c>
      <c r="G140" s="4" t="s">
        <v>173</v>
      </c>
      <c r="H140" s="4">
        <f t="shared" ca="1" si="4"/>
        <v>0</v>
      </c>
      <c r="I140" s="4">
        <v>2</v>
      </c>
      <c r="J140" s="4" t="s">
        <v>165</v>
      </c>
      <c r="K140" s="4" t="s">
        <v>165</v>
      </c>
      <c r="L140" s="4" t="s">
        <v>170</v>
      </c>
      <c r="M140" s="4">
        <v>10</v>
      </c>
      <c r="N140" s="4">
        <f t="shared" ca="1" si="5"/>
        <v>1</v>
      </c>
    </row>
    <row r="141" spans="1:14" x14ac:dyDescent="0.25">
      <c r="A141" s="4">
        <v>140</v>
      </c>
      <c r="B141" s="4" t="s">
        <v>175</v>
      </c>
      <c r="C141" s="4" t="s">
        <v>165</v>
      </c>
      <c r="D141" s="4" t="s">
        <v>164</v>
      </c>
      <c r="E141" s="4" t="s">
        <v>165</v>
      </c>
      <c r="F141" s="4" t="s">
        <v>176</v>
      </c>
      <c r="G141" s="4" t="s">
        <v>177</v>
      </c>
      <c r="H141" s="4">
        <f t="shared" ca="1" si="4"/>
        <v>0</v>
      </c>
      <c r="I141" s="4">
        <v>2</v>
      </c>
      <c r="J141" s="4" t="s">
        <v>165</v>
      </c>
      <c r="K141" s="4" t="s">
        <v>169</v>
      </c>
      <c r="L141" s="4" t="s">
        <v>176</v>
      </c>
      <c r="M141" s="4">
        <v>5</v>
      </c>
      <c r="N141" s="4">
        <f t="shared" ca="1" si="5"/>
        <v>2</v>
      </c>
    </row>
    <row r="142" spans="1:14" x14ac:dyDescent="0.25">
      <c r="A142" s="4">
        <v>141</v>
      </c>
      <c r="B142" s="4" t="s">
        <v>180</v>
      </c>
      <c r="C142" s="4" t="s">
        <v>169</v>
      </c>
      <c r="D142" s="4" t="s">
        <v>220</v>
      </c>
      <c r="E142" s="4" t="s">
        <v>165</v>
      </c>
      <c r="F142" s="4" t="s">
        <v>176</v>
      </c>
      <c r="G142" s="4" t="s">
        <v>168</v>
      </c>
      <c r="H142" s="4">
        <f t="shared" ca="1" si="4"/>
        <v>0</v>
      </c>
      <c r="I142" s="4">
        <v>2</v>
      </c>
      <c r="J142" s="4" t="s">
        <v>165</v>
      </c>
      <c r="K142" s="4" t="s">
        <v>169</v>
      </c>
      <c r="L142" s="4" t="s">
        <v>176</v>
      </c>
      <c r="M142" s="4">
        <v>8</v>
      </c>
      <c r="N142" s="4">
        <f t="shared" ca="1" si="5"/>
        <v>0</v>
      </c>
    </row>
    <row r="143" spans="1:14" x14ac:dyDescent="0.25">
      <c r="A143" s="4">
        <v>142</v>
      </c>
      <c r="B143" s="4" t="s">
        <v>180</v>
      </c>
      <c r="C143" s="4" t="s">
        <v>165</v>
      </c>
      <c r="D143" s="4" t="s">
        <v>172</v>
      </c>
      <c r="E143" s="4" t="s">
        <v>165</v>
      </c>
      <c r="F143" s="4" t="s">
        <v>173</v>
      </c>
      <c r="G143" s="4" t="s">
        <v>173</v>
      </c>
      <c r="H143" s="4">
        <f t="shared" ca="1" si="4"/>
        <v>3</v>
      </c>
      <c r="I143" s="4">
        <v>0</v>
      </c>
      <c r="J143" s="4" t="s">
        <v>165</v>
      </c>
      <c r="K143" s="4" t="s">
        <v>165</v>
      </c>
      <c r="L143" s="4" t="s">
        <v>170</v>
      </c>
      <c r="M143" s="4">
        <v>2</v>
      </c>
      <c r="N143" s="4">
        <f t="shared" ca="1" si="5"/>
        <v>2</v>
      </c>
    </row>
    <row r="144" spans="1:14" x14ac:dyDescent="0.25">
      <c r="A144" s="4">
        <v>143</v>
      </c>
      <c r="B144" s="4" t="s">
        <v>175</v>
      </c>
      <c r="C144" s="4" t="s">
        <v>165</v>
      </c>
      <c r="D144" s="4" t="s">
        <v>179</v>
      </c>
      <c r="E144" s="4" t="s">
        <v>169</v>
      </c>
      <c r="F144" s="4" t="s">
        <v>167</v>
      </c>
      <c r="G144" s="4" t="s">
        <v>167</v>
      </c>
      <c r="H144" s="4">
        <f t="shared" ca="1" si="4"/>
        <v>0</v>
      </c>
      <c r="I144" s="4">
        <v>2</v>
      </c>
      <c r="J144" s="4" t="s">
        <v>169</v>
      </c>
      <c r="K144" s="4" t="s">
        <v>165</v>
      </c>
      <c r="L144" s="4" t="s">
        <v>176</v>
      </c>
      <c r="M144" s="4">
        <v>5</v>
      </c>
      <c r="N144" s="4">
        <f t="shared" ca="1" si="5"/>
        <v>2</v>
      </c>
    </row>
    <row r="145" spans="1:14" x14ac:dyDescent="0.25">
      <c r="A145" s="4">
        <v>144</v>
      </c>
      <c r="B145" s="4" t="s">
        <v>180</v>
      </c>
      <c r="C145" s="4" t="s">
        <v>165</v>
      </c>
      <c r="D145" s="4" t="s">
        <v>172</v>
      </c>
      <c r="E145" s="4" t="s">
        <v>165</v>
      </c>
      <c r="F145" s="4" t="s">
        <v>173</v>
      </c>
      <c r="G145" s="4" t="s">
        <v>173</v>
      </c>
      <c r="H145" s="4">
        <f t="shared" ca="1" si="4"/>
        <v>3</v>
      </c>
      <c r="I145" s="4">
        <v>1</v>
      </c>
      <c r="J145" s="4" t="s">
        <v>169</v>
      </c>
      <c r="K145" s="4" t="s">
        <v>169</v>
      </c>
      <c r="L145" s="4" t="s">
        <v>170</v>
      </c>
      <c r="M145" s="4">
        <v>5</v>
      </c>
      <c r="N145" s="4">
        <f t="shared" ca="1" si="5"/>
        <v>1</v>
      </c>
    </row>
    <row r="146" spans="1:14" x14ac:dyDescent="0.25">
      <c r="A146" s="4">
        <v>145</v>
      </c>
      <c r="B146" s="4" t="s">
        <v>171</v>
      </c>
      <c r="C146" s="4" t="s">
        <v>169</v>
      </c>
      <c r="D146" s="4" t="s">
        <v>164</v>
      </c>
      <c r="E146" s="4" t="s">
        <v>169</v>
      </c>
      <c r="F146" s="4" t="s">
        <v>167</v>
      </c>
      <c r="G146" s="4" t="s">
        <v>177</v>
      </c>
      <c r="H146" s="4">
        <f t="shared" ca="1" si="4"/>
        <v>2</v>
      </c>
      <c r="I146" s="4">
        <v>1</v>
      </c>
      <c r="J146" s="4" t="s">
        <v>169</v>
      </c>
      <c r="K146" s="4" t="s">
        <v>165</v>
      </c>
      <c r="L146" s="4" t="s">
        <v>174</v>
      </c>
      <c r="M146" s="4">
        <v>9</v>
      </c>
      <c r="N146" s="4">
        <f t="shared" ca="1" si="5"/>
        <v>1</v>
      </c>
    </row>
    <row r="147" spans="1:14" x14ac:dyDescent="0.25">
      <c r="A147" s="4">
        <v>146</v>
      </c>
      <c r="B147" s="4" t="s">
        <v>164</v>
      </c>
      <c r="C147" s="4" t="s">
        <v>169</v>
      </c>
      <c r="D147" s="4" t="s">
        <v>166</v>
      </c>
      <c r="E147" s="4" t="s">
        <v>169</v>
      </c>
      <c r="F147" s="4" t="s">
        <v>167</v>
      </c>
      <c r="G147" s="4" t="s">
        <v>168</v>
      </c>
      <c r="H147" s="4">
        <f t="shared" ca="1" si="4"/>
        <v>3</v>
      </c>
      <c r="I147" s="4">
        <v>1</v>
      </c>
      <c r="J147" s="4" t="s">
        <v>165</v>
      </c>
      <c r="K147" s="4" t="s">
        <v>169</v>
      </c>
      <c r="L147" s="4" t="s">
        <v>170</v>
      </c>
      <c r="M147" s="4">
        <v>12</v>
      </c>
      <c r="N147" s="4">
        <f t="shared" ca="1" si="5"/>
        <v>2</v>
      </c>
    </row>
    <row r="148" spans="1:14" x14ac:dyDescent="0.25">
      <c r="A148" s="4">
        <v>147</v>
      </c>
      <c r="B148" s="4" t="s">
        <v>180</v>
      </c>
      <c r="C148" s="4" t="s">
        <v>165</v>
      </c>
      <c r="D148" s="4" t="s">
        <v>166</v>
      </c>
      <c r="E148" s="4" t="s">
        <v>169</v>
      </c>
      <c r="F148" s="4" t="s">
        <v>176</v>
      </c>
      <c r="G148" s="4" t="s">
        <v>181</v>
      </c>
      <c r="H148" s="4">
        <f t="shared" ca="1" si="4"/>
        <v>1</v>
      </c>
      <c r="I148" s="4">
        <v>2</v>
      </c>
      <c r="J148" s="4" t="s">
        <v>169</v>
      </c>
      <c r="K148" s="4" t="s">
        <v>169</v>
      </c>
      <c r="L148" s="4" t="s">
        <v>174</v>
      </c>
      <c r="M148" s="4">
        <v>6</v>
      </c>
      <c r="N148" s="4">
        <f t="shared" ca="1" si="5"/>
        <v>0</v>
      </c>
    </row>
    <row r="149" spans="1:14" x14ac:dyDescent="0.25">
      <c r="A149" s="4">
        <v>148</v>
      </c>
      <c r="B149" s="4" t="s">
        <v>175</v>
      </c>
      <c r="C149" s="4" t="s">
        <v>165</v>
      </c>
      <c r="D149" s="4" t="s">
        <v>164</v>
      </c>
      <c r="E149" s="4" t="s">
        <v>169</v>
      </c>
      <c r="F149" s="4" t="s">
        <v>167</v>
      </c>
      <c r="G149" s="4" t="s">
        <v>181</v>
      </c>
      <c r="H149" s="4">
        <f t="shared" ca="1" si="4"/>
        <v>1</v>
      </c>
      <c r="I149" s="4">
        <v>0</v>
      </c>
      <c r="J149" s="4" t="s">
        <v>165</v>
      </c>
      <c r="K149" s="4" t="s">
        <v>169</v>
      </c>
      <c r="L149" s="4" t="s">
        <v>176</v>
      </c>
      <c r="M149" s="4">
        <v>12</v>
      </c>
      <c r="N149" s="4">
        <f t="shared" ca="1" si="5"/>
        <v>1</v>
      </c>
    </row>
    <row r="150" spans="1:14" x14ac:dyDescent="0.25">
      <c r="A150" s="4">
        <v>149</v>
      </c>
      <c r="B150" s="4" t="s">
        <v>164</v>
      </c>
      <c r="C150" s="4" t="s">
        <v>169</v>
      </c>
      <c r="D150" s="4" t="s">
        <v>179</v>
      </c>
      <c r="E150" s="4" t="s">
        <v>165</v>
      </c>
      <c r="F150" s="4" t="s">
        <v>167</v>
      </c>
      <c r="G150" s="4" t="s">
        <v>167</v>
      </c>
      <c r="H150" s="4">
        <f t="shared" ca="1" si="4"/>
        <v>0</v>
      </c>
      <c r="I150" s="4">
        <v>2</v>
      </c>
      <c r="J150" s="4" t="s">
        <v>165</v>
      </c>
      <c r="K150" s="4" t="s">
        <v>165</v>
      </c>
      <c r="L150" s="4" t="s">
        <v>176</v>
      </c>
      <c r="M150" s="4">
        <v>6</v>
      </c>
      <c r="N150" s="4">
        <f t="shared" ca="1" si="5"/>
        <v>2</v>
      </c>
    </row>
    <row r="151" spans="1:14" x14ac:dyDescent="0.25">
      <c r="A151" s="4">
        <v>150</v>
      </c>
      <c r="B151" s="4" t="s">
        <v>175</v>
      </c>
      <c r="C151" s="4" t="s">
        <v>169</v>
      </c>
      <c r="D151" s="4" t="s">
        <v>220</v>
      </c>
      <c r="E151" s="4" t="s">
        <v>165</v>
      </c>
      <c r="F151" s="4" t="s">
        <v>167</v>
      </c>
      <c r="G151" s="4" t="s">
        <v>168</v>
      </c>
      <c r="H151" s="4">
        <f t="shared" ca="1" si="4"/>
        <v>3</v>
      </c>
      <c r="I151" s="4">
        <v>2</v>
      </c>
      <c r="J151" s="4" t="s">
        <v>169</v>
      </c>
      <c r="K151" s="4" t="s">
        <v>169</v>
      </c>
      <c r="L151" s="4" t="s">
        <v>174</v>
      </c>
      <c r="M151" s="4">
        <v>4</v>
      </c>
      <c r="N151" s="4">
        <f t="shared" ca="1" si="5"/>
        <v>2</v>
      </c>
    </row>
  </sheetData>
  <conditionalFormatting sqref="A1:N151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4F0D-DD82-464A-B33E-20B93D6D0F3F}">
  <dimension ref="A1:O151"/>
  <sheetViews>
    <sheetView tabSelected="1" topLeftCell="A129" workbookViewId="0">
      <selection activeCell="P140" sqref="A1:XFD1048576"/>
    </sheetView>
  </sheetViews>
  <sheetFormatPr defaultRowHeight="15" x14ac:dyDescent="0.25"/>
  <cols>
    <col min="1" max="1" width="15.140625" style="3" customWidth="1"/>
    <col min="2" max="2" width="20.42578125" style="3" customWidth="1"/>
    <col min="3" max="3" width="17.42578125" style="3" customWidth="1"/>
    <col min="4" max="4" width="16.5703125" style="3" customWidth="1"/>
    <col min="5" max="5" width="16.85546875" style="3" customWidth="1"/>
    <col min="6" max="6" width="15.28515625" style="3" customWidth="1"/>
    <col min="7" max="7" width="19.28515625" style="3" customWidth="1"/>
    <col min="8" max="8" width="28.85546875" style="3" customWidth="1"/>
    <col min="9" max="9" width="13.85546875" style="3" customWidth="1"/>
    <col min="10" max="10" width="24.42578125" style="3" customWidth="1"/>
    <col min="11" max="11" width="20.5703125" style="3" customWidth="1"/>
    <col min="12" max="12" width="16.5703125" style="3" customWidth="1"/>
    <col min="13" max="13" width="18.85546875" style="3" customWidth="1"/>
    <col min="14" max="14" width="21.28515625" style="3" customWidth="1"/>
    <col min="15" max="15" width="19.85546875" style="3" customWidth="1"/>
    <col min="16" max="16384" width="9.140625" style="3"/>
  </cols>
  <sheetData>
    <row r="1" spans="1:15" x14ac:dyDescent="0.25">
      <c r="A1" s="1" t="s">
        <v>217</v>
      </c>
      <c r="B1" s="2" t="s">
        <v>182</v>
      </c>
      <c r="C1" s="2" t="s">
        <v>183</v>
      </c>
      <c r="D1" s="2" t="s">
        <v>184</v>
      </c>
      <c r="E1" s="2" t="s">
        <v>185</v>
      </c>
      <c r="F1" s="2" t="s">
        <v>186</v>
      </c>
      <c r="G1" s="2" t="s">
        <v>187</v>
      </c>
      <c r="H1" s="2" t="s">
        <v>219</v>
      </c>
      <c r="I1" s="2" t="s">
        <v>188</v>
      </c>
      <c r="J1" s="2" t="s">
        <v>189</v>
      </c>
      <c r="K1" s="2" t="s">
        <v>190</v>
      </c>
      <c r="L1" s="2" t="s">
        <v>191</v>
      </c>
      <c r="M1" s="2" t="s">
        <v>192</v>
      </c>
      <c r="N1" s="2" t="s">
        <v>193</v>
      </c>
      <c r="O1" s="2" t="s">
        <v>194</v>
      </c>
    </row>
    <row r="2" spans="1:15" x14ac:dyDescent="0.25">
      <c r="A2" s="3">
        <v>1</v>
      </c>
      <c r="B2" s="3">
        <v>6.14</v>
      </c>
      <c r="C2" s="3">
        <v>18</v>
      </c>
      <c r="D2" s="3">
        <v>5.94</v>
      </c>
      <c r="E2" s="3">
        <v>8.25</v>
      </c>
      <c r="F2" s="3">
        <v>2.79</v>
      </c>
      <c r="G2" s="3">
        <v>22.5</v>
      </c>
      <c r="H2" s="3" t="s">
        <v>181</v>
      </c>
      <c r="I2" s="3" t="s">
        <v>195</v>
      </c>
      <c r="J2" s="3" t="s">
        <v>196</v>
      </c>
      <c r="K2" s="3" t="s">
        <v>197</v>
      </c>
      <c r="L2" s="3">
        <v>3</v>
      </c>
      <c r="M2" s="3">
        <v>0</v>
      </c>
      <c r="N2" s="3" t="s">
        <v>198</v>
      </c>
      <c r="O2" s="3" t="s">
        <v>199</v>
      </c>
    </row>
    <row r="3" spans="1:15" x14ac:dyDescent="0.25">
      <c r="A3" s="3">
        <v>2</v>
      </c>
      <c r="B3" s="3">
        <v>5.73</v>
      </c>
      <c r="C3" s="3">
        <v>12</v>
      </c>
      <c r="D3" s="3">
        <v>8.35</v>
      </c>
      <c r="E3" s="3">
        <v>9.18</v>
      </c>
      <c r="F3" s="3">
        <v>0.78</v>
      </c>
      <c r="G3" s="3">
        <v>17.920000000000002</v>
      </c>
      <c r="H3" s="3" t="s">
        <v>200</v>
      </c>
      <c r="I3" s="3" t="s">
        <v>201</v>
      </c>
      <c r="J3" s="3" t="s">
        <v>202</v>
      </c>
      <c r="K3" s="3" t="s">
        <v>203</v>
      </c>
      <c r="L3" s="3">
        <v>9</v>
      </c>
      <c r="M3" s="3">
        <v>7</v>
      </c>
      <c r="N3" s="3" t="s">
        <v>204</v>
      </c>
      <c r="O3" s="3" t="s">
        <v>205</v>
      </c>
    </row>
    <row r="4" spans="1:15" x14ac:dyDescent="0.25">
      <c r="A4" s="3">
        <v>3</v>
      </c>
      <c r="B4" s="3">
        <v>4.88</v>
      </c>
      <c r="C4" s="3">
        <v>12</v>
      </c>
      <c r="D4" s="3">
        <v>4.34</v>
      </c>
      <c r="E4" s="3">
        <v>2.25</v>
      </c>
      <c r="F4" s="3">
        <v>1.2</v>
      </c>
      <c r="G4" s="3">
        <v>24.95</v>
      </c>
      <c r="H4" s="3" t="s">
        <v>206</v>
      </c>
      <c r="I4" s="3" t="s">
        <v>207</v>
      </c>
      <c r="J4" s="3" t="s">
        <v>196</v>
      </c>
      <c r="K4" s="3" t="s">
        <v>203</v>
      </c>
      <c r="L4" s="3">
        <v>4</v>
      </c>
      <c r="M4" s="3">
        <v>0</v>
      </c>
      <c r="N4" s="3" t="s">
        <v>204</v>
      </c>
      <c r="O4" s="3" t="s">
        <v>205</v>
      </c>
    </row>
    <row r="5" spans="1:15" x14ac:dyDescent="0.25">
      <c r="A5" s="3">
        <v>4</v>
      </c>
      <c r="B5" s="3">
        <v>1.47</v>
      </c>
      <c r="C5" s="3">
        <v>5</v>
      </c>
      <c r="D5" s="3">
        <v>3.56</v>
      </c>
      <c r="E5" s="3">
        <v>5.31</v>
      </c>
      <c r="F5" s="3">
        <v>2.81</v>
      </c>
      <c r="G5" s="3">
        <v>8.14</v>
      </c>
      <c r="H5" s="3" t="s">
        <v>181</v>
      </c>
      <c r="I5" s="3" t="s">
        <v>208</v>
      </c>
      <c r="J5" s="3" t="s">
        <v>196</v>
      </c>
      <c r="K5" s="3" t="s">
        <v>203</v>
      </c>
      <c r="L5" s="3">
        <v>10</v>
      </c>
      <c r="M5" s="3">
        <v>3</v>
      </c>
      <c r="N5" s="3" t="s">
        <v>204</v>
      </c>
      <c r="O5" s="3" t="s">
        <v>205</v>
      </c>
    </row>
    <row r="6" spans="1:15" x14ac:dyDescent="0.25">
      <c r="A6" s="3">
        <v>5</v>
      </c>
      <c r="B6" s="3">
        <v>1.88</v>
      </c>
      <c r="C6" s="3">
        <v>27</v>
      </c>
      <c r="D6" s="3">
        <v>10.01</v>
      </c>
      <c r="E6" s="3">
        <v>4.63</v>
      </c>
      <c r="F6" s="3">
        <v>2.16</v>
      </c>
      <c r="G6" s="3">
        <v>22.26</v>
      </c>
      <c r="H6" s="3" t="s">
        <v>200</v>
      </c>
      <c r="I6" s="3" t="s">
        <v>208</v>
      </c>
      <c r="J6" s="3" t="s">
        <v>196</v>
      </c>
      <c r="K6" s="3" t="s">
        <v>209</v>
      </c>
      <c r="L6" s="3">
        <v>19</v>
      </c>
      <c r="M6" s="3">
        <v>18</v>
      </c>
      <c r="N6" s="3" t="s">
        <v>204</v>
      </c>
      <c r="O6" s="3" t="s">
        <v>205</v>
      </c>
    </row>
    <row r="7" spans="1:15" x14ac:dyDescent="0.25">
      <c r="A7" s="3">
        <v>6</v>
      </c>
      <c r="B7" s="3">
        <v>5.96</v>
      </c>
      <c r="C7" s="3">
        <v>30</v>
      </c>
      <c r="D7" s="3">
        <v>6.43</v>
      </c>
      <c r="E7" s="3">
        <v>7.18</v>
      </c>
      <c r="F7" s="3">
        <v>3.95</v>
      </c>
      <c r="G7" s="3">
        <v>21.76</v>
      </c>
      <c r="H7" s="3" t="s">
        <v>200</v>
      </c>
      <c r="I7" s="3" t="s">
        <v>208</v>
      </c>
      <c r="J7" s="3" t="s">
        <v>202</v>
      </c>
      <c r="K7" s="3" t="s">
        <v>197</v>
      </c>
      <c r="L7" s="3">
        <v>25</v>
      </c>
      <c r="M7" s="3">
        <v>22</v>
      </c>
      <c r="N7" s="3" t="s">
        <v>198</v>
      </c>
      <c r="O7" s="3" t="s">
        <v>205</v>
      </c>
    </row>
    <row r="8" spans="1:15" x14ac:dyDescent="0.25">
      <c r="A8" s="3">
        <v>7</v>
      </c>
      <c r="B8" s="3">
        <v>1.38</v>
      </c>
      <c r="C8" s="3">
        <v>12</v>
      </c>
      <c r="D8" s="3">
        <v>5.34</v>
      </c>
      <c r="E8" s="3">
        <v>2.15</v>
      </c>
      <c r="F8" s="3">
        <v>2.6</v>
      </c>
      <c r="G8" s="3">
        <v>14.79</v>
      </c>
      <c r="H8" s="3" t="s">
        <v>200</v>
      </c>
      <c r="I8" s="3" t="s">
        <v>210</v>
      </c>
      <c r="J8" s="3" t="s">
        <v>196</v>
      </c>
      <c r="K8" s="3" t="s">
        <v>209</v>
      </c>
      <c r="L8" s="3">
        <v>21</v>
      </c>
      <c r="M8" s="3">
        <v>14</v>
      </c>
      <c r="N8" s="3" t="s">
        <v>204</v>
      </c>
      <c r="O8" s="3" t="s">
        <v>199</v>
      </c>
    </row>
    <row r="9" spans="1:15" x14ac:dyDescent="0.25">
      <c r="A9" s="3">
        <v>8</v>
      </c>
      <c r="B9" s="3">
        <v>2.96</v>
      </c>
      <c r="C9" s="3">
        <v>23</v>
      </c>
      <c r="D9" s="3">
        <v>7.49</v>
      </c>
      <c r="E9" s="3">
        <v>9.77</v>
      </c>
      <c r="F9" s="3">
        <v>4.49</v>
      </c>
      <c r="G9" s="3">
        <v>14.31</v>
      </c>
      <c r="H9" s="3" t="s">
        <v>181</v>
      </c>
      <c r="I9" s="3" t="s">
        <v>208</v>
      </c>
      <c r="J9" s="3" t="s">
        <v>196</v>
      </c>
      <c r="K9" s="3" t="s">
        <v>203</v>
      </c>
      <c r="L9" s="3">
        <v>17</v>
      </c>
      <c r="M9" s="3">
        <v>17</v>
      </c>
      <c r="N9" s="3" t="s">
        <v>204</v>
      </c>
      <c r="O9" s="3" t="s">
        <v>199</v>
      </c>
    </row>
    <row r="10" spans="1:15" x14ac:dyDescent="0.25">
      <c r="A10" s="3">
        <v>9</v>
      </c>
      <c r="B10" s="3">
        <v>4.01</v>
      </c>
      <c r="C10" s="3">
        <v>3</v>
      </c>
      <c r="D10" s="3">
        <v>5.18</v>
      </c>
      <c r="E10" s="3">
        <v>4.03</v>
      </c>
      <c r="F10" s="3">
        <v>1.5</v>
      </c>
      <c r="G10" s="3">
        <v>13.89</v>
      </c>
      <c r="H10" s="3" t="s">
        <v>200</v>
      </c>
      <c r="I10" s="3" t="s">
        <v>195</v>
      </c>
      <c r="J10" s="3" t="s">
        <v>196</v>
      </c>
      <c r="K10" s="3" t="s">
        <v>203</v>
      </c>
      <c r="L10" s="3">
        <v>3</v>
      </c>
      <c r="M10" s="3">
        <v>0</v>
      </c>
      <c r="N10" s="3" t="s">
        <v>198</v>
      </c>
      <c r="O10" s="3" t="s">
        <v>205</v>
      </c>
    </row>
    <row r="11" spans="1:15" x14ac:dyDescent="0.25">
      <c r="A11" s="3">
        <v>10</v>
      </c>
      <c r="B11" s="3">
        <v>6.48</v>
      </c>
      <c r="C11" s="3">
        <v>19</v>
      </c>
      <c r="D11" s="3">
        <v>11.62</v>
      </c>
      <c r="E11" s="3">
        <v>8.0399999999999991</v>
      </c>
      <c r="F11" s="3">
        <v>3.47</v>
      </c>
      <c r="G11" s="3">
        <v>15.05</v>
      </c>
      <c r="H11" s="3" t="s">
        <v>211</v>
      </c>
      <c r="I11" s="3" t="s">
        <v>208</v>
      </c>
      <c r="J11" s="3" t="s">
        <v>212</v>
      </c>
      <c r="K11" s="3" t="s">
        <v>213</v>
      </c>
      <c r="L11" s="3">
        <v>15</v>
      </c>
      <c r="M11" s="3">
        <v>9</v>
      </c>
      <c r="N11" s="3" t="s">
        <v>198</v>
      </c>
      <c r="O11" s="3" t="s">
        <v>205</v>
      </c>
    </row>
    <row r="12" spans="1:15" x14ac:dyDescent="0.25">
      <c r="A12" s="3">
        <v>11</v>
      </c>
      <c r="B12" s="3">
        <v>1.2</v>
      </c>
      <c r="C12" s="3">
        <v>21</v>
      </c>
      <c r="D12" s="3">
        <v>3.62</v>
      </c>
      <c r="E12" s="3">
        <v>2.67</v>
      </c>
      <c r="F12" s="3">
        <v>3.58</v>
      </c>
      <c r="G12" s="3">
        <v>10.92</v>
      </c>
      <c r="H12" s="3" t="s">
        <v>211</v>
      </c>
      <c r="I12" s="3" t="s">
        <v>207</v>
      </c>
      <c r="J12" s="3" t="s">
        <v>196</v>
      </c>
      <c r="K12" s="3" t="s">
        <v>203</v>
      </c>
      <c r="L12" s="3">
        <v>9</v>
      </c>
      <c r="M12" s="3">
        <v>9</v>
      </c>
      <c r="N12" s="3" t="s">
        <v>198</v>
      </c>
      <c r="O12" s="3" t="s">
        <v>205</v>
      </c>
    </row>
    <row r="13" spans="1:15" x14ac:dyDescent="0.25">
      <c r="A13" s="3">
        <v>12</v>
      </c>
      <c r="B13" s="3">
        <v>5.3</v>
      </c>
      <c r="C13" s="3">
        <v>18</v>
      </c>
      <c r="D13" s="3">
        <v>4.8</v>
      </c>
      <c r="E13" s="3">
        <v>9.82</v>
      </c>
      <c r="F13" s="3">
        <v>2.93</v>
      </c>
      <c r="G13" s="3">
        <v>21.8</v>
      </c>
      <c r="H13" s="3" t="s">
        <v>206</v>
      </c>
      <c r="I13" s="3" t="s">
        <v>210</v>
      </c>
      <c r="J13" s="3" t="s">
        <v>202</v>
      </c>
      <c r="K13" s="3" t="s">
        <v>214</v>
      </c>
      <c r="L13" s="3">
        <v>17</v>
      </c>
      <c r="M13" s="3">
        <v>11</v>
      </c>
      <c r="N13" s="3" t="s">
        <v>204</v>
      </c>
      <c r="O13" s="3" t="s">
        <v>205</v>
      </c>
    </row>
    <row r="14" spans="1:15" x14ac:dyDescent="0.25">
      <c r="A14" s="3">
        <v>13</v>
      </c>
      <c r="B14" s="3">
        <v>6.2</v>
      </c>
      <c r="C14" s="3">
        <v>22</v>
      </c>
      <c r="D14" s="3">
        <v>5.64</v>
      </c>
      <c r="E14" s="3">
        <v>7.75</v>
      </c>
      <c r="F14" s="3">
        <v>3.57</v>
      </c>
      <c r="G14" s="3">
        <v>24.18</v>
      </c>
      <c r="H14" s="3" t="s">
        <v>181</v>
      </c>
      <c r="I14" s="3" t="s">
        <v>195</v>
      </c>
      <c r="J14" s="3" t="s">
        <v>212</v>
      </c>
      <c r="K14" s="3" t="s">
        <v>213</v>
      </c>
      <c r="L14" s="3">
        <v>2</v>
      </c>
      <c r="M14" s="3">
        <v>0</v>
      </c>
      <c r="N14" s="3" t="s">
        <v>198</v>
      </c>
      <c r="O14" s="3" t="s">
        <v>205</v>
      </c>
    </row>
    <row r="15" spans="1:15" x14ac:dyDescent="0.25">
      <c r="A15" s="3">
        <v>14</v>
      </c>
      <c r="B15" s="3">
        <v>0.79</v>
      </c>
      <c r="C15" s="3">
        <v>13</v>
      </c>
      <c r="D15" s="3">
        <v>5.97</v>
      </c>
      <c r="E15" s="3">
        <v>3.28</v>
      </c>
      <c r="F15" s="3">
        <v>2.96</v>
      </c>
      <c r="G15" s="3">
        <v>7.93</v>
      </c>
      <c r="H15" s="3" t="s">
        <v>206</v>
      </c>
      <c r="I15" s="3" t="s">
        <v>208</v>
      </c>
      <c r="J15" s="3" t="s">
        <v>215</v>
      </c>
      <c r="K15" s="3" t="s">
        <v>213</v>
      </c>
      <c r="L15" s="3">
        <v>4</v>
      </c>
      <c r="M15" s="3">
        <v>2</v>
      </c>
      <c r="N15" s="3" t="s">
        <v>204</v>
      </c>
      <c r="O15" s="3" t="s">
        <v>205</v>
      </c>
    </row>
    <row r="16" spans="1:15" x14ac:dyDescent="0.25">
      <c r="A16" s="3">
        <v>15</v>
      </c>
      <c r="B16" s="3">
        <v>0.56000000000000005</v>
      </c>
      <c r="C16" s="3">
        <v>22</v>
      </c>
      <c r="D16" s="3">
        <v>3.06</v>
      </c>
      <c r="E16" s="3">
        <v>6.53</v>
      </c>
      <c r="F16" s="3">
        <v>3.72</v>
      </c>
      <c r="G16" s="3">
        <v>12.79</v>
      </c>
      <c r="H16" s="3" t="s">
        <v>211</v>
      </c>
      <c r="I16" s="3" t="s">
        <v>208</v>
      </c>
      <c r="J16" s="3" t="s">
        <v>196</v>
      </c>
      <c r="K16" s="3" t="s">
        <v>209</v>
      </c>
      <c r="L16" s="3">
        <v>22</v>
      </c>
      <c r="M16" s="3">
        <v>18</v>
      </c>
      <c r="N16" s="3" t="s">
        <v>198</v>
      </c>
      <c r="O16" s="3" t="s">
        <v>199</v>
      </c>
    </row>
    <row r="17" spans="1:15" x14ac:dyDescent="0.25">
      <c r="A17" s="3">
        <v>16</v>
      </c>
      <c r="B17" s="3">
        <v>1.4</v>
      </c>
      <c r="C17" s="3">
        <v>5</v>
      </c>
      <c r="D17" s="3">
        <v>10.31</v>
      </c>
      <c r="E17" s="3">
        <v>5.0599999999999996</v>
      </c>
      <c r="F17" s="3">
        <v>0.57999999999999996</v>
      </c>
      <c r="G17" s="3">
        <v>18.79</v>
      </c>
      <c r="H17" s="3" t="s">
        <v>206</v>
      </c>
      <c r="I17" s="3" t="s">
        <v>201</v>
      </c>
      <c r="J17" s="3" t="s">
        <v>215</v>
      </c>
      <c r="K17" s="3" t="s">
        <v>209</v>
      </c>
      <c r="L17" s="3">
        <v>8</v>
      </c>
      <c r="M17" s="3">
        <v>0</v>
      </c>
      <c r="N17" s="3" t="s">
        <v>198</v>
      </c>
      <c r="O17" s="3" t="s">
        <v>205</v>
      </c>
    </row>
    <row r="18" spans="1:15" x14ac:dyDescent="0.25">
      <c r="A18" s="3">
        <v>17</v>
      </c>
      <c r="B18" s="3">
        <v>4.1900000000000004</v>
      </c>
      <c r="C18" s="3">
        <v>7</v>
      </c>
      <c r="D18" s="3">
        <v>7.97</v>
      </c>
      <c r="E18" s="3">
        <v>9.85</v>
      </c>
      <c r="F18" s="3">
        <v>3.92</v>
      </c>
      <c r="G18" s="3">
        <v>20.010000000000002</v>
      </c>
      <c r="H18" s="3" t="s">
        <v>211</v>
      </c>
      <c r="I18" s="3" t="s">
        <v>201</v>
      </c>
      <c r="J18" s="3" t="s">
        <v>212</v>
      </c>
      <c r="K18" s="3" t="s">
        <v>197</v>
      </c>
      <c r="L18" s="3">
        <v>6</v>
      </c>
      <c r="M18" s="3">
        <v>0</v>
      </c>
      <c r="N18" s="3" t="s">
        <v>198</v>
      </c>
      <c r="O18" s="3" t="s">
        <v>199</v>
      </c>
    </row>
    <row r="19" spans="1:15" x14ac:dyDescent="0.25">
      <c r="A19" s="3">
        <v>18</v>
      </c>
      <c r="B19" s="3">
        <v>4.74</v>
      </c>
      <c r="C19" s="3">
        <v>28</v>
      </c>
      <c r="D19" s="3">
        <v>3.29</v>
      </c>
      <c r="E19" s="3">
        <v>4.6100000000000003</v>
      </c>
      <c r="F19" s="3">
        <v>3.76</v>
      </c>
      <c r="G19" s="3">
        <v>20.54</v>
      </c>
      <c r="H19" s="3" t="s">
        <v>211</v>
      </c>
      <c r="I19" s="3" t="s">
        <v>210</v>
      </c>
      <c r="J19" s="3" t="s">
        <v>196</v>
      </c>
      <c r="K19" s="3" t="s">
        <v>209</v>
      </c>
      <c r="L19" s="3">
        <v>14</v>
      </c>
      <c r="M19" s="3">
        <v>12</v>
      </c>
      <c r="N19" s="3" t="s">
        <v>198</v>
      </c>
      <c r="O19" s="3" t="s">
        <v>205</v>
      </c>
    </row>
    <row r="20" spans="1:15" x14ac:dyDescent="0.25">
      <c r="A20" s="3">
        <v>19</v>
      </c>
      <c r="B20" s="3">
        <v>1.66</v>
      </c>
      <c r="C20" s="3">
        <v>23</v>
      </c>
      <c r="D20" s="3">
        <v>3.62</v>
      </c>
      <c r="E20" s="3">
        <v>6.19</v>
      </c>
      <c r="F20" s="3">
        <v>0.63</v>
      </c>
      <c r="G20" s="3">
        <v>22.64</v>
      </c>
      <c r="H20" s="3" t="s">
        <v>211</v>
      </c>
      <c r="I20" s="3" t="s">
        <v>201</v>
      </c>
      <c r="J20" s="3" t="s">
        <v>212</v>
      </c>
      <c r="K20" s="3" t="s">
        <v>214</v>
      </c>
      <c r="L20" s="3">
        <v>12</v>
      </c>
      <c r="M20" s="3">
        <v>5</v>
      </c>
      <c r="N20" s="3" t="s">
        <v>204</v>
      </c>
      <c r="O20" s="3" t="s">
        <v>205</v>
      </c>
    </row>
    <row r="21" spans="1:15" x14ac:dyDescent="0.25">
      <c r="A21" s="3">
        <v>20</v>
      </c>
      <c r="B21" s="3">
        <v>4.37</v>
      </c>
      <c r="C21" s="3">
        <v>23</v>
      </c>
      <c r="D21" s="3">
        <v>11.25</v>
      </c>
      <c r="E21" s="3">
        <v>7.27</v>
      </c>
      <c r="F21" s="3">
        <v>3.79</v>
      </c>
      <c r="G21" s="3">
        <v>11.23</v>
      </c>
      <c r="H21" s="3" t="s">
        <v>200</v>
      </c>
      <c r="I21" s="3" t="s">
        <v>208</v>
      </c>
      <c r="J21" s="3" t="s">
        <v>196</v>
      </c>
      <c r="K21" s="3" t="s">
        <v>197</v>
      </c>
      <c r="L21" s="3">
        <v>14</v>
      </c>
      <c r="M21" s="3">
        <v>13</v>
      </c>
      <c r="N21" s="3" t="s">
        <v>204</v>
      </c>
      <c r="O21" s="3" t="s">
        <v>205</v>
      </c>
    </row>
    <row r="22" spans="1:15" x14ac:dyDescent="0.25">
      <c r="A22" s="3">
        <v>21</v>
      </c>
      <c r="B22" s="3">
        <v>2.59</v>
      </c>
      <c r="C22" s="3">
        <v>29</v>
      </c>
      <c r="D22" s="3">
        <v>4.4400000000000004</v>
      </c>
      <c r="E22" s="3">
        <v>4.7</v>
      </c>
      <c r="F22" s="3">
        <v>3.93</v>
      </c>
      <c r="G22" s="3">
        <v>14.09</v>
      </c>
      <c r="H22" s="3" t="s">
        <v>200</v>
      </c>
      <c r="I22" s="3" t="s">
        <v>207</v>
      </c>
      <c r="J22" s="3" t="s">
        <v>215</v>
      </c>
      <c r="K22" s="3" t="s">
        <v>213</v>
      </c>
      <c r="L22" s="3">
        <v>23</v>
      </c>
      <c r="M22" s="3">
        <v>14</v>
      </c>
      <c r="N22" s="3" t="s">
        <v>204</v>
      </c>
      <c r="O22" s="3" t="s">
        <v>199</v>
      </c>
    </row>
    <row r="23" spans="1:15" x14ac:dyDescent="0.25">
      <c r="A23" s="3">
        <v>22</v>
      </c>
      <c r="B23" s="3">
        <v>2.13</v>
      </c>
      <c r="C23" s="3">
        <v>14</v>
      </c>
      <c r="D23" s="3">
        <v>11.76</v>
      </c>
      <c r="E23" s="3">
        <v>4.7300000000000004</v>
      </c>
      <c r="F23" s="3">
        <v>2.4700000000000002</v>
      </c>
      <c r="G23" s="3">
        <v>11.88</v>
      </c>
      <c r="H23" s="3" t="s">
        <v>200</v>
      </c>
      <c r="I23" s="3" t="s">
        <v>207</v>
      </c>
      <c r="J23" s="3" t="s">
        <v>215</v>
      </c>
      <c r="K23" s="3" t="s">
        <v>209</v>
      </c>
      <c r="L23" s="3">
        <v>24</v>
      </c>
      <c r="M23" s="3">
        <v>24</v>
      </c>
      <c r="N23" s="3" t="s">
        <v>198</v>
      </c>
      <c r="O23" s="3" t="s">
        <v>205</v>
      </c>
    </row>
    <row r="24" spans="1:15" x14ac:dyDescent="0.25">
      <c r="A24" s="3">
        <v>23</v>
      </c>
      <c r="B24" s="3">
        <v>1.0900000000000001</v>
      </c>
      <c r="C24" s="3">
        <v>23</v>
      </c>
      <c r="D24" s="3">
        <v>8.0299999999999994</v>
      </c>
      <c r="E24" s="3">
        <v>8.7899999999999991</v>
      </c>
      <c r="F24" s="3">
        <v>1.1599999999999999</v>
      </c>
      <c r="G24" s="3">
        <v>8.06</v>
      </c>
      <c r="H24" s="3" t="s">
        <v>181</v>
      </c>
      <c r="I24" s="3" t="s">
        <v>208</v>
      </c>
      <c r="J24" s="3" t="s">
        <v>202</v>
      </c>
      <c r="K24" s="3" t="s">
        <v>213</v>
      </c>
      <c r="L24" s="3">
        <v>11</v>
      </c>
      <c r="M24" s="3">
        <v>3</v>
      </c>
      <c r="N24" s="3" t="s">
        <v>198</v>
      </c>
      <c r="O24" s="3" t="s">
        <v>205</v>
      </c>
    </row>
    <row r="25" spans="1:15" x14ac:dyDescent="0.25">
      <c r="A25" s="3">
        <v>24</v>
      </c>
      <c r="B25" s="3">
        <v>2.69</v>
      </c>
      <c r="C25" s="3">
        <v>4</v>
      </c>
      <c r="D25" s="3">
        <v>11.71</v>
      </c>
      <c r="E25" s="3">
        <v>8.85</v>
      </c>
      <c r="F25" s="3">
        <v>1.17</v>
      </c>
      <c r="G25" s="3">
        <v>8.2100000000000009</v>
      </c>
      <c r="H25" s="3" t="s">
        <v>211</v>
      </c>
      <c r="I25" s="3" t="s">
        <v>201</v>
      </c>
      <c r="J25" s="3" t="s">
        <v>196</v>
      </c>
      <c r="K25" s="3" t="s">
        <v>197</v>
      </c>
      <c r="L25" s="3">
        <v>4</v>
      </c>
      <c r="M25" s="3">
        <v>1</v>
      </c>
      <c r="N25" s="3" t="s">
        <v>204</v>
      </c>
      <c r="O25" s="3" t="s">
        <v>199</v>
      </c>
    </row>
    <row r="26" spans="1:15" x14ac:dyDescent="0.25">
      <c r="A26" s="3">
        <v>25</v>
      </c>
      <c r="B26" s="3">
        <v>1.88</v>
      </c>
      <c r="C26" s="3">
        <v>13</v>
      </c>
      <c r="D26" s="3">
        <v>9.7899999999999991</v>
      </c>
      <c r="E26" s="3">
        <v>2.71</v>
      </c>
      <c r="F26" s="3">
        <v>3.18</v>
      </c>
      <c r="G26" s="3">
        <v>20.420000000000002</v>
      </c>
      <c r="H26" s="3" t="s">
        <v>200</v>
      </c>
      <c r="I26" s="3" t="s">
        <v>208</v>
      </c>
      <c r="J26" s="3" t="s">
        <v>212</v>
      </c>
      <c r="K26" s="3" t="s">
        <v>203</v>
      </c>
      <c r="L26" s="3">
        <v>12</v>
      </c>
      <c r="M26" s="3">
        <v>8</v>
      </c>
      <c r="N26" s="3" t="s">
        <v>198</v>
      </c>
      <c r="O26" s="3" t="s">
        <v>205</v>
      </c>
    </row>
    <row r="27" spans="1:15" x14ac:dyDescent="0.25">
      <c r="A27" s="3">
        <v>26</v>
      </c>
      <c r="B27" s="3">
        <v>2.77</v>
      </c>
      <c r="C27" s="3">
        <v>16</v>
      </c>
      <c r="D27" s="3">
        <v>3.06</v>
      </c>
      <c r="E27" s="3">
        <v>5.79</v>
      </c>
      <c r="F27" s="3">
        <v>4.3099999999999996</v>
      </c>
      <c r="G27" s="3">
        <v>14.53</v>
      </c>
      <c r="H27" s="3" t="s">
        <v>206</v>
      </c>
      <c r="I27" s="3" t="s">
        <v>207</v>
      </c>
      <c r="J27" s="3" t="s">
        <v>212</v>
      </c>
      <c r="K27" s="3" t="s">
        <v>213</v>
      </c>
      <c r="L27" s="3">
        <v>6</v>
      </c>
      <c r="M27" s="3">
        <v>6</v>
      </c>
      <c r="N27" s="3" t="s">
        <v>204</v>
      </c>
      <c r="O27" s="3" t="s">
        <v>199</v>
      </c>
    </row>
    <row r="28" spans="1:15" x14ac:dyDescent="0.25">
      <c r="A28" s="3">
        <v>27</v>
      </c>
      <c r="B28" s="3">
        <v>5.37</v>
      </c>
      <c r="C28" s="3">
        <v>20</v>
      </c>
      <c r="D28" s="3">
        <v>4.79</v>
      </c>
      <c r="E28" s="3">
        <v>5.92</v>
      </c>
      <c r="F28" s="3">
        <v>0.66</v>
      </c>
      <c r="G28" s="3">
        <v>24.64</v>
      </c>
      <c r="H28" s="3" t="s">
        <v>206</v>
      </c>
      <c r="I28" s="3" t="s">
        <v>207</v>
      </c>
      <c r="J28" s="3" t="s">
        <v>215</v>
      </c>
      <c r="K28" s="3" t="s">
        <v>209</v>
      </c>
      <c r="L28" s="3">
        <v>1</v>
      </c>
      <c r="M28" s="3">
        <v>0</v>
      </c>
      <c r="N28" s="3" t="s">
        <v>204</v>
      </c>
      <c r="O28" s="3" t="s">
        <v>199</v>
      </c>
    </row>
    <row r="29" spans="1:15" x14ac:dyDescent="0.25">
      <c r="A29" s="3">
        <v>28</v>
      </c>
      <c r="B29" s="3">
        <v>1.56</v>
      </c>
      <c r="C29" s="3">
        <v>22</v>
      </c>
      <c r="D29" s="3">
        <v>8.08</v>
      </c>
      <c r="E29" s="3">
        <v>9.26</v>
      </c>
      <c r="F29" s="3">
        <v>1.05</v>
      </c>
      <c r="G29" s="3">
        <v>13.82</v>
      </c>
      <c r="H29" s="3" t="s">
        <v>181</v>
      </c>
      <c r="I29" s="3" t="s">
        <v>210</v>
      </c>
      <c r="J29" s="3" t="s">
        <v>212</v>
      </c>
      <c r="K29" s="3" t="s">
        <v>203</v>
      </c>
      <c r="L29" s="3">
        <v>9</v>
      </c>
      <c r="M29" s="3">
        <v>1</v>
      </c>
      <c r="N29" s="3" t="s">
        <v>198</v>
      </c>
      <c r="O29" s="3" t="s">
        <v>199</v>
      </c>
    </row>
    <row r="30" spans="1:15" x14ac:dyDescent="0.25">
      <c r="A30" s="3">
        <v>29</v>
      </c>
      <c r="B30" s="3">
        <v>1.28</v>
      </c>
      <c r="C30" s="3">
        <v>6</v>
      </c>
      <c r="D30" s="3">
        <v>8.09</v>
      </c>
      <c r="E30" s="3">
        <v>2.11</v>
      </c>
      <c r="F30" s="3">
        <v>4.28</v>
      </c>
      <c r="G30" s="3">
        <v>16.46</v>
      </c>
      <c r="H30" s="3" t="s">
        <v>211</v>
      </c>
      <c r="I30" s="3" t="s">
        <v>208</v>
      </c>
      <c r="J30" s="3" t="s">
        <v>212</v>
      </c>
      <c r="K30" s="3" t="s">
        <v>214</v>
      </c>
      <c r="L30" s="3">
        <v>11</v>
      </c>
      <c r="M30" s="3">
        <v>5</v>
      </c>
      <c r="N30" s="3" t="s">
        <v>204</v>
      </c>
      <c r="O30" s="3" t="s">
        <v>199</v>
      </c>
    </row>
    <row r="31" spans="1:15" x14ac:dyDescent="0.25">
      <c r="A31" s="3">
        <v>30</v>
      </c>
      <c r="B31" s="3">
        <v>3.35</v>
      </c>
      <c r="C31" s="3">
        <v>23</v>
      </c>
      <c r="D31" s="3">
        <v>10.33</v>
      </c>
      <c r="E31" s="3">
        <v>4.0599999999999996</v>
      </c>
      <c r="F31" s="3">
        <v>3.31</v>
      </c>
      <c r="G31" s="3">
        <v>17.36</v>
      </c>
      <c r="H31" s="3" t="s">
        <v>181</v>
      </c>
      <c r="I31" s="3" t="s">
        <v>208</v>
      </c>
      <c r="J31" s="3" t="s">
        <v>202</v>
      </c>
      <c r="K31" s="3" t="s">
        <v>197</v>
      </c>
      <c r="L31" s="3">
        <v>19</v>
      </c>
      <c r="M31" s="3">
        <v>11</v>
      </c>
      <c r="N31" s="3" t="s">
        <v>204</v>
      </c>
      <c r="O31" s="3" t="s">
        <v>199</v>
      </c>
    </row>
    <row r="32" spans="1:15" x14ac:dyDescent="0.25">
      <c r="A32" s="3">
        <v>31</v>
      </c>
      <c r="B32" s="3">
        <v>1.65</v>
      </c>
      <c r="C32" s="3">
        <v>28</v>
      </c>
      <c r="D32" s="3">
        <v>8.77</v>
      </c>
      <c r="E32" s="3">
        <v>9.75</v>
      </c>
      <c r="F32" s="3">
        <v>3.62</v>
      </c>
      <c r="G32" s="3">
        <v>22.2</v>
      </c>
      <c r="H32" s="3" t="s">
        <v>181</v>
      </c>
      <c r="I32" s="3" t="s">
        <v>207</v>
      </c>
      <c r="J32" s="3" t="s">
        <v>215</v>
      </c>
      <c r="K32" s="3" t="s">
        <v>197</v>
      </c>
      <c r="L32" s="3">
        <v>8</v>
      </c>
      <c r="M32" s="3">
        <v>0</v>
      </c>
      <c r="N32" s="3" t="s">
        <v>204</v>
      </c>
      <c r="O32" s="3" t="s">
        <v>205</v>
      </c>
    </row>
    <row r="33" spans="1:15" x14ac:dyDescent="0.25">
      <c r="A33" s="3">
        <v>32</v>
      </c>
      <c r="B33" s="3">
        <v>6.05</v>
      </c>
      <c r="C33" s="3">
        <v>4</v>
      </c>
      <c r="D33" s="3">
        <v>4.12</v>
      </c>
      <c r="E33" s="3">
        <v>8.11</v>
      </c>
      <c r="F33" s="3">
        <v>2.23</v>
      </c>
      <c r="G33" s="3">
        <v>22.55</v>
      </c>
      <c r="H33" s="3" t="s">
        <v>200</v>
      </c>
      <c r="I33" s="3" t="s">
        <v>208</v>
      </c>
      <c r="J33" s="3" t="s">
        <v>202</v>
      </c>
      <c r="K33" s="3" t="s">
        <v>209</v>
      </c>
      <c r="L33" s="3">
        <v>13</v>
      </c>
      <c r="M33" s="3">
        <v>4</v>
      </c>
      <c r="N33" s="3" t="s">
        <v>204</v>
      </c>
      <c r="O33" s="3" t="s">
        <v>205</v>
      </c>
    </row>
    <row r="34" spans="1:15" x14ac:dyDescent="0.25">
      <c r="A34" s="3">
        <v>33</v>
      </c>
      <c r="B34" s="3">
        <v>2.96</v>
      </c>
      <c r="C34" s="3">
        <v>14</v>
      </c>
      <c r="D34" s="3">
        <v>8.07</v>
      </c>
      <c r="E34" s="3">
        <v>7.28</v>
      </c>
      <c r="F34" s="3">
        <v>1.99</v>
      </c>
      <c r="G34" s="3">
        <v>9.68</v>
      </c>
      <c r="H34" s="3" t="s">
        <v>211</v>
      </c>
      <c r="I34" s="3" t="s">
        <v>207</v>
      </c>
      <c r="J34" s="3" t="s">
        <v>212</v>
      </c>
      <c r="K34" s="3" t="s">
        <v>197</v>
      </c>
      <c r="L34" s="3">
        <v>5</v>
      </c>
      <c r="M34" s="3">
        <v>0</v>
      </c>
      <c r="N34" s="3" t="s">
        <v>198</v>
      </c>
      <c r="O34" s="3" t="s">
        <v>205</v>
      </c>
    </row>
    <row r="35" spans="1:15" x14ac:dyDescent="0.25">
      <c r="A35" s="3">
        <v>34</v>
      </c>
      <c r="B35" s="3">
        <v>2.17</v>
      </c>
      <c r="C35" s="3">
        <v>28</v>
      </c>
      <c r="D35" s="3">
        <v>5.15</v>
      </c>
      <c r="E35" s="3">
        <v>3.85</v>
      </c>
      <c r="F35" s="3">
        <v>0.77</v>
      </c>
      <c r="G35" s="3">
        <v>17.100000000000001</v>
      </c>
      <c r="H35" s="3" t="s">
        <v>211</v>
      </c>
      <c r="I35" s="3" t="s">
        <v>207</v>
      </c>
      <c r="J35" s="3" t="s">
        <v>196</v>
      </c>
      <c r="K35" s="3" t="s">
        <v>213</v>
      </c>
      <c r="L35" s="3">
        <v>20</v>
      </c>
      <c r="M35" s="3">
        <v>10</v>
      </c>
      <c r="N35" s="3" t="s">
        <v>204</v>
      </c>
      <c r="O35" s="3" t="s">
        <v>205</v>
      </c>
    </row>
    <row r="36" spans="1:15" x14ac:dyDescent="0.25">
      <c r="A36" s="3">
        <v>35</v>
      </c>
      <c r="B36" s="3">
        <v>1.22</v>
      </c>
      <c r="C36" s="3">
        <v>23</v>
      </c>
      <c r="D36" s="3">
        <v>8.0399999999999991</v>
      </c>
      <c r="E36" s="3">
        <v>10</v>
      </c>
      <c r="F36" s="3">
        <v>1.06</v>
      </c>
      <c r="G36" s="3">
        <v>11.77</v>
      </c>
      <c r="H36" s="3" t="s">
        <v>181</v>
      </c>
      <c r="I36" s="3" t="s">
        <v>201</v>
      </c>
      <c r="J36" s="3" t="s">
        <v>212</v>
      </c>
      <c r="K36" s="3" t="s">
        <v>214</v>
      </c>
      <c r="L36" s="3">
        <v>16</v>
      </c>
      <c r="M36" s="3">
        <v>10</v>
      </c>
      <c r="N36" s="3" t="s">
        <v>204</v>
      </c>
      <c r="O36" s="3" t="s">
        <v>199</v>
      </c>
    </row>
    <row r="37" spans="1:15" x14ac:dyDescent="0.25">
      <c r="A37" s="3">
        <v>36</v>
      </c>
      <c r="B37" s="3">
        <v>5.31</v>
      </c>
      <c r="C37" s="3">
        <v>17</v>
      </c>
      <c r="D37" s="3">
        <v>5.04</v>
      </c>
      <c r="E37" s="3">
        <v>8.6300000000000008</v>
      </c>
      <c r="F37" s="3">
        <v>2.2799999999999998</v>
      </c>
      <c r="G37" s="3">
        <v>8.39</v>
      </c>
      <c r="H37" s="3" t="s">
        <v>181</v>
      </c>
      <c r="I37" s="3" t="s">
        <v>210</v>
      </c>
      <c r="J37" s="3" t="s">
        <v>202</v>
      </c>
      <c r="K37" s="3" t="s">
        <v>213</v>
      </c>
      <c r="L37" s="3">
        <v>1</v>
      </c>
      <c r="M37" s="3">
        <v>0</v>
      </c>
      <c r="N37" s="3" t="s">
        <v>198</v>
      </c>
      <c r="O37" s="3" t="s">
        <v>199</v>
      </c>
    </row>
    <row r="38" spans="1:15" x14ac:dyDescent="0.25">
      <c r="A38" s="3">
        <v>37</v>
      </c>
      <c r="B38" s="3">
        <v>0.74</v>
      </c>
      <c r="C38" s="3">
        <v>19</v>
      </c>
      <c r="D38" s="3">
        <v>9.09</v>
      </c>
      <c r="E38" s="3">
        <v>5.57</v>
      </c>
      <c r="F38" s="3">
        <v>1.92</v>
      </c>
      <c r="G38" s="3">
        <v>22.69</v>
      </c>
      <c r="H38" s="3" t="s">
        <v>200</v>
      </c>
      <c r="I38" s="3" t="s">
        <v>201</v>
      </c>
      <c r="J38" s="3" t="s">
        <v>212</v>
      </c>
      <c r="K38" s="3" t="s">
        <v>197</v>
      </c>
      <c r="L38" s="3">
        <v>4</v>
      </c>
      <c r="M38" s="3">
        <v>1</v>
      </c>
      <c r="N38" s="3" t="s">
        <v>204</v>
      </c>
      <c r="O38" s="3" t="s">
        <v>199</v>
      </c>
    </row>
    <row r="39" spans="1:15" x14ac:dyDescent="0.25">
      <c r="A39" s="3">
        <v>38</v>
      </c>
      <c r="B39" s="3">
        <v>5.36</v>
      </c>
      <c r="C39" s="3">
        <v>19</v>
      </c>
      <c r="D39" s="3">
        <v>9.66</v>
      </c>
      <c r="E39" s="3">
        <v>9.34</v>
      </c>
      <c r="F39" s="3">
        <v>2.4900000000000002</v>
      </c>
      <c r="G39" s="3">
        <v>11.08</v>
      </c>
      <c r="H39" s="3" t="s">
        <v>200</v>
      </c>
      <c r="I39" s="3" t="s">
        <v>201</v>
      </c>
      <c r="J39" s="3" t="s">
        <v>215</v>
      </c>
      <c r="K39" s="3" t="s">
        <v>213</v>
      </c>
      <c r="L39" s="3">
        <v>16</v>
      </c>
      <c r="M39" s="3">
        <v>12</v>
      </c>
      <c r="N39" s="3" t="s">
        <v>204</v>
      </c>
      <c r="O39" s="3" t="s">
        <v>205</v>
      </c>
    </row>
    <row r="40" spans="1:15" x14ac:dyDescent="0.25">
      <c r="A40" s="3">
        <v>39</v>
      </c>
      <c r="B40" s="3">
        <v>1.49</v>
      </c>
      <c r="C40" s="3">
        <v>18</v>
      </c>
      <c r="D40" s="3">
        <v>8.43</v>
      </c>
      <c r="E40" s="3">
        <v>5.65</v>
      </c>
      <c r="F40" s="3">
        <v>4.3899999999999997</v>
      </c>
      <c r="G40" s="3">
        <v>17.66</v>
      </c>
      <c r="H40" s="3" t="s">
        <v>211</v>
      </c>
      <c r="I40" s="3" t="s">
        <v>208</v>
      </c>
      <c r="J40" s="3" t="s">
        <v>215</v>
      </c>
      <c r="K40" s="3" t="s">
        <v>197</v>
      </c>
      <c r="L40" s="3">
        <v>9</v>
      </c>
      <c r="M40" s="3">
        <v>9</v>
      </c>
      <c r="N40" s="3" t="s">
        <v>204</v>
      </c>
      <c r="O40" s="3" t="s">
        <v>205</v>
      </c>
    </row>
    <row r="41" spans="1:15" x14ac:dyDescent="0.25">
      <c r="A41" s="3">
        <v>40</v>
      </c>
      <c r="B41" s="3">
        <v>4.63</v>
      </c>
      <c r="C41" s="3">
        <v>3</v>
      </c>
      <c r="D41" s="3">
        <v>7.83</v>
      </c>
      <c r="E41" s="3">
        <v>9.1199999999999992</v>
      </c>
      <c r="F41" s="3">
        <v>3.38</v>
      </c>
      <c r="G41" s="3">
        <v>6.6</v>
      </c>
      <c r="H41" s="3" t="s">
        <v>200</v>
      </c>
      <c r="I41" s="3" t="s">
        <v>210</v>
      </c>
      <c r="J41" s="3" t="s">
        <v>196</v>
      </c>
      <c r="K41" s="3" t="s">
        <v>203</v>
      </c>
      <c r="L41" s="3">
        <v>4</v>
      </c>
      <c r="M41" s="3">
        <v>1</v>
      </c>
      <c r="N41" s="3" t="s">
        <v>198</v>
      </c>
      <c r="O41" s="3" t="s">
        <v>199</v>
      </c>
    </row>
    <row r="42" spans="1:15" x14ac:dyDescent="0.25">
      <c r="A42" s="3">
        <v>41</v>
      </c>
      <c r="B42" s="3">
        <v>2.04</v>
      </c>
      <c r="C42" s="3">
        <v>16</v>
      </c>
      <c r="D42" s="3">
        <v>5.55</v>
      </c>
      <c r="E42" s="3">
        <v>2.36</v>
      </c>
      <c r="F42" s="3">
        <v>1.68</v>
      </c>
      <c r="G42" s="3">
        <v>12.99</v>
      </c>
      <c r="H42" s="3" t="s">
        <v>181</v>
      </c>
      <c r="I42" s="3" t="s">
        <v>208</v>
      </c>
      <c r="J42" s="3" t="s">
        <v>196</v>
      </c>
      <c r="K42" s="3" t="s">
        <v>209</v>
      </c>
      <c r="L42" s="3">
        <v>17</v>
      </c>
      <c r="M42" s="3">
        <v>13</v>
      </c>
      <c r="N42" s="3" t="s">
        <v>204</v>
      </c>
      <c r="O42" s="3" t="s">
        <v>199</v>
      </c>
    </row>
    <row r="43" spans="1:15" x14ac:dyDescent="0.25">
      <c r="A43" s="3">
        <v>42</v>
      </c>
      <c r="B43" s="3">
        <v>2.75</v>
      </c>
      <c r="C43" s="3">
        <v>12</v>
      </c>
      <c r="D43" s="3">
        <v>5.31</v>
      </c>
      <c r="E43" s="3">
        <v>5.19</v>
      </c>
      <c r="F43" s="3">
        <v>0.83</v>
      </c>
      <c r="G43" s="3">
        <v>14.52</v>
      </c>
      <c r="H43" s="3" t="s">
        <v>181</v>
      </c>
      <c r="I43" s="3" t="s">
        <v>208</v>
      </c>
      <c r="J43" s="3" t="s">
        <v>215</v>
      </c>
      <c r="K43" s="3" t="s">
        <v>213</v>
      </c>
      <c r="L43" s="3">
        <v>15</v>
      </c>
      <c r="M43" s="3">
        <v>9</v>
      </c>
      <c r="N43" s="3" t="s">
        <v>204</v>
      </c>
      <c r="O43" s="3" t="s">
        <v>199</v>
      </c>
    </row>
    <row r="44" spans="1:15" x14ac:dyDescent="0.25">
      <c r="A44" s="3">
        <v>43</v>
      </c>
      <c r="B44" s="3">
        <v>5.9</v>
      </c>
      <c r="C44" s="3">
        <v>10</v>
      </c>
      <c r="D44" s="3">
        <v>3.23</v>
      </c>
      <c r="E44" s="3">
        <v>3.24</v>
      </c>
      <c r="F44" s="3">
        <v>0.84</v>
      </c>
      <c r="G44" s="3">
        <v>24.32</v>
      </c>
      <c r="H44" s="3" t="s">
        <v>181</v>
      </c>
      <c r="I44" s="3" t="s">
        <v>210</v>
      </c>
      <c r="J44" s="3" t="s">
        <v>202</v>
      </c>
      <c r="K44" s="3" t="s">
        <v>209</v>
      </c>
      <c r="L44" s="3">
        <v>16</v>
      </c>
      <c r="M44" s="3">
        <v>12</v>
      </c>
      <c r="N44" s="3" t="s">
        <v>204</v>
      </c>
      <c r="O44" s="3" t="s">
        <v>205</v>
      </c>
    </row>
    <row r="45" spans="1:15" x14ac:dyDescent="0.25">
      <c r="A45" s="3">
        <v>44</v>
      </c>
      <c r="B45" s="3">
        <v>4.43</v>
      </c>
      <c r="C45" s="3">
        <v>10</v>
      </c>
      <c r="D45" s="3">
        <v>10.56</v>
      </c>
      <c r="E45" s="3">
        <v>2.5</v>
      </c>
      <c r="F45" s="3">
        <v>2.5499999999999998</v>
      </c>
      <c r="G45" s="3">
        <v>24.45</v>
      </c>
      <c r="H45" s="3" t="s">
        <v>206</v>
      </c>
      <c r="I45" s="3" t="s">
        <v>195</v>
      </c>
      <c r="J45" s="3" t="s">
        <v>215</v>
      </c>
      <c r="K45" s="3" t="s">
        <v>209</v>
      </c>
      <c r="L45" s="3">
        <v>10</v>
      </c>
      <c r="M45" s="3">
        <v>9</v>
      </c>
      <c r="N45" s="3" t="s">
        <v>204</v>
      </c>
      <c r="O45" s="3" t="s">
        <v>199</v>
      </c>
    </row>
    <row r="46" spans="1:15" x14ac:dyDescent="0.25">
      <c r="A46" s="3">
        <v>45</v>
      </c>
      <c r="B46" s="3">
        <v>2.6</v>
      </c>
      <c r="C46" s="3">
        <v>30</v>
      </c>
      <c r="D46" s="3">
        <v>9.33</v>
      </c>
      <c r="E46" s="3">
        <v>8.73</v>
      </c>
      <c r="F46" s="3">
        <v>3.55</v>
      </c>
      <c r="G46" s="3">
        <v>13.28</v>
      </c>
      <c r="H46" s="3" t="s">
        <v>211</v>
      </c>
      <c r="I46" s="3" t="s">
        <v>195</v>
      </c>
      <c r="J46" s="3" t="s">
        <v>212</v>
      </c>
      <c r="K46" s="3" t="s">
        <v>209</v>
      </c>
      <c r="L46" s="3">
        <v>6</v>
      </c>
      <c r="M46" s="3">
        <v>0</v>
      </c>
      <c r="N46" s="3" t="s">
        <v>198</v>
      </c>
      <c r="O46" s="3" t="s">
        <v>199</v>
      </c>
    </row>
    <row r="47" spans="1:15" x14ac:dyDescent="0.25">
      <c r="A47" s="3">
        <v>46</v>
      </c>
      <c r="B47" s="3">
        <v>5.23</v>
      </c>
      <c r="C47" s="3">
        <v>4</v>
      </c>
      <c r="D47" s="3">
        <v>10.82</v>
      </c>
      <c r="E47" s="3">
        <v>5.91</v>
      </c>
      <c r="F47" s="3">
        <v>0.82</v>
      </c>
      <c r="G47" s="3">
        <v>13.22</v>
      </c>
      <c r="H47" s="3" t="s">
        <v>181</v>
      </c>
      <c r="I47" s="3" t="s">
        <v>207</v>
      </c>
      <c r="J47" s="3" t="s">
        <v>202</v>
      </c>
      <c r="K47" s="3" t="s">
        <v>203</v>
      </c>
      <c r="L47" s="3">
        <v>7</v>
      </c>
      <c r="M47" s="3">
        <v>1</v>
      </c>
      <c r="N47" s="3" t="s">
        <v>198</v>
      </c>
      <c r="O47" s="3" t="s">
        <v>205</v>
      </c>
    </row>
    <row r="48" spans="1:15" x14ac:dyDescent="0.25">
      <c r="A48" s="3">
        <v>47</v>
      </c>
      <c r="B48" s="3">
        <v>5.46</v>
      </c>
      <c r="C48" s="3">
        <v>10</v>
      </c>
      <c r="D48" s="3">
        <v>7.28</v>
      </c>
      <c r="E48" s="3">
        <v>5.42</v>
      </c>
      <c r="F48" s="3">
        <v>3</v>
      </c>
      <c r="G48" s="3">
        <v>19.88</v>
      </c>
      <c r="H48" s="3" t="s">
        <v>211</v>
      </c>
      <c r="I48" s="3" t="s">
        <v>207</v>
      </c>
      <c r="J48" s="3" t="s">
        <v>215</v>
      </c>
      <c r="K48" s="3" t="s">
        <v>213</v>
      </c>
      <c r="L48" s="3">
        <v>21</v>
      </c>
      <c r="M48" s="3">
        <v>17</v>
      </c>
      <c r="N48" s="3" t="s">
        <v>204</v>
      </c>
      <c r="O48" s="3" t="s">
        <v>199</v>
      </c>
    </row>
    <row r="49" spans="1:15" x14ac:dyDescent="0.25">
      <c r="A49" s="3">
        <v>48</v>
      </c>
      <c r="B49" s="3">
        <v>5.07</v>
      </c>
      <c r="C49" s="3">
        <v>20</v>
      </c>
      <c r="D49" s="3">
        <v>9.91</v>
      </c>
      <c r="E49" s="3">
        <v>6.21</v>
      </c>
      <c r="F49" s="3">
        <v>0.74</v>
      </c>
      <c r="G49" s="3">
        <v>5.67</v>
      </c>
      <c r="H49" s="3" t="s">
        <v>206</v>
      </c>
      <c r="I49" s="3" t="s">
        <v>201</v>
      </c>
      <c r="J49" s="3" t="s">
        <v>215</v>
      </c>
      <c r="K49" s="3" t="s">
        <v>214</v>
      </c>
      <c r="L49" s="3">
        <v>3</v>
      </c>
      <c r="M49" s="3">
        <v>0</v>
      </c>
      <c r="N49" s="3" t="s">
        <v>204</v>
      </c>
      <c r="O49" s="3" t="s">
        <v>205</v>
      </c>
    </row>
    <row r="50" spans="1:15" x14ac:dyDescent="0.25">
      <c r="A50" s="3">
        <v>49</v>
      </c>
      <c r="B50" s="3">
        <v>0.89</v>
      </c>
      <c r="C50" s="3">
        <v>15</v>
      </c>
      <c r="D50" s="3">
        <v>6.68</v>
      </c>
      <c r="E50" s="3">
        <v>7.9</v>
      </c>
      <c r="F50" s="3">
        <v>1.41</v>
      </c>
      <c r="G50" s="3">
        <v>14.85</v>
      </c>
      <c r="H50" s="3" t="s">
        <v>211</v>
      </c>
      <c r="I50" s="3" t="s">
        <v>207</v>
      </c>
      <c r="J50" s="3" t="s">
        <v>196</v>
      </c>
      <c r="K50" s="3" t="s">
        <v>214</v>
      </c>
      <c r="L50" s="3">
        <v>25</v>
      </c>
      <c r="M50" s="3">
        <v>21</v>
      </c>
      <c r="N50" s="3" t="s">
        <v>204</v>
      </c>
      <c r="O50" s="3" t="s">
        <v>199</v>
      </c>
    </row>
    <row r="51" spans="1:15" x14ac:dyDescent="0.25">
      <c r="A51" s="3">
        <v>50</v>
      </c>
      <c r="B51" s="3">
        <v>4.8499999999999996</v>
      </c>
      <c r="C51" s="3">
        <v>23</v>
      </c>
      <c r="D51" s="3">
        <v>9.1</v>
      </c>
      <c r="E51" s="3">
        <v>7.33</v>
      </c>
      <c r="F51" s="3">
        <v>2.31</v>
      </c>
      <c r="G51" s="3">
        <v>12.65</v>
      </c>
      <c r="H51" s="3" t="s">
        <v>181</v>
      </c>
      <c r="I51" s="3" t="s">
        <v>210</v>
      </c>
      <c r="J51" s="3" t="s">
        <v>212</v>
      </c>
      <c r="K51" s="3" t="s">
        <v>213</v>
      </c>
      <c r="L51" s="3">
        <v>12</v>
      </c>
      <c r="M51" s="3">
        <v>6</v>
      </c>
      <c r="N51" s="3" t="s">
        <v>204</v>
      </c>
      <c r="O51" s="3" t="s">
        <v>199</v>
      </c>
    </row>
    <row r="52" spans="1:15" x14ac:dyDescent="0.25">
      <c r="A52" s="3">
        <v>51</v>
      </c>
      <c r="B52" s="3">
        <v>3.11</v>
      </c>
      <c r="C52" s="3">
        <v>28</v>
      </c>
      <c r="D52" s="3">
        <v>11.11</v>
      </c>
      <c r="E52" s="3">
        <v>4.4400000000000004</v>
      </c>
      <c r="F52" s="3">
        <v>1.55</v>
      </c>
      <c r="G52" s="3">
        <v>13.87</v>
      </c>
      <c r="H52" s="3" t="s">
        <v>211</v>
      </c>
      <c r="I52" s="3" t="s">
        <v>201</v>
      </c>
      <c r="J52" s="3" t="s">
        <v>202</v>
      </c>
      <c r="K52" s="3" t="s">
        <v>214</v>
      </c>
      <c r="L52" s="3">
        <v>0</v>
      </c>
      <c r="M52" s="3">
        <v>0</v>
      </c>
      <c r="N52" s="3" t="s">
        <v>204</v>
      </c>
      <c r="O52" s="3" t="s">
        <v>205</v>
      </c>
    </row>
    <row r="53" spans="1:15" x14ac:dyDescent="0.25">
      <c r="A53" s="3">
        <v>52</v>
      </c>
      <c r="B53" s="3">
        <v>2.25</v>
      </c>
      <c r="C53" s="3">
        <v>22</v>
      </c>
      <c r="D53" s="3">
        <v>9.0299999999999994</v>
      </c>
      <c r="E53" s="3">
        <v>7.96</v>
      </c>
      <c r="F53" s="3">
        <v>2.48</v>
      </c>
      <c r="G53" s="3">
        <v>8.01</v>
      </c>
      <c r="H53" s="3" t="s">
        <v>211</v>
      </c>
      <c r="I53" s="3" t="s">
        <v>210</v>
      </c>
      <c r="J53" s="3" t="s">
        <v>196</v>
      </c>
      <c r="K53" s="3" t="s">
        <v>213</v>
      </c>
      <c r="L53" s="3">
        <v>25</v>
      </c>
      <c r="M53" s="3">
        <v>24</v>
      </c>
      <c r="N53" s="3" t="s">
        <v>198</v>
      </c>
      <c r="O53" s="3" t="s">
        <v>199</v>
      </c>
    </row>
    <row r="54" spans="1:15" x14ac:dyDescent="0.25">
      <c r="A54" s="3">
        <v>53</v>
      </c>
      <c r="B54" s="3">
        <v>1.86</v>
      </c>
      <c r="C54" s="3">
        <v>24</v>
      </c>
      <c r="D54" s="3">
        <v>10.41</v>
      </c>
      <c r="E54" s="3">
        <v>8.2899999999999991</v>
      </c>
      <c r="F54" s="3">
        <v>2.82</v>
      </c>
      <c r="G54" s="3">
        <v>7.89</v>
      </c>
      <c r="H54" s="3" t="s">
        <v>206</v>
      </c>
      <c r="I54" s="3" t="s">
        <v>208</v>
      </c>
      <c r="J54" s="3" t="s">
        <v>202</v>
      </c>
      <c r="K54" s="3" t="s">
        <v>209</v>
      </c>
      <c r="L54" s="3">
        <v>12</v>
      </c>
      <c r="M54" s="3">
        <v>12</v>
      </c>
      <c r="N54" s="3" t="s">
        <v>198</v>
      </c>
      <c r="O54" s="3" t="s">
        <v>199</v>
      </c>
    </row>
    <row r="55" spans="1:15" x14ac:dyDescent="0.25">
      <c r="A55" s="3">
        <v>54</v>
      </c>
      <c r="B55" s="3">
        <v>3.46</v>
      </c>
      <c r="C55" s="3">
        <v>3</v>
      </c>
      <c r="D55" s="3">
        <v>10.99</v>
      </c>
      <c r="E55" s="3">
        <v>8.6</v>
      </c>
      <c r="F55" s="3">
        <v>3.44</v>
      </c>
      <c r="G55" s="3">
        <v>16.579999999999998</v>
      </c>
      <c r="H55" s="3" t="s">
        <v>211</v>
      </c>
      <c r="I55" s="3" t="s">
        <v>201</v>
      </c>
      <c r="J55" s="3" t="s">
        <v>196</v>
      </c>
      <c r="K55" s="3" t="s">
        <v>213</v>
      </c>
      <c r="L55" s="3">
        <v>4</v>
      </c>
      <c r="M55" s="3">
        <v>0</v>
      </c>
      <c r="N55" s="3" t="s">
        <v>204</v>
      </c>
      <c r="O55" s="3" t="s">
        <v>205</v>
      </c>
    </row>
    <row r="56" spans="1:15" x14ac:dyDescent="0.25">
      <c r="A56" s="3">
        <v>55</v>
      </c>
      <c r="B56" s="3">
        <v>4.1900000000000004</v>
      </c>
      <c r="C56" s="3">
        <v>16</v>
      </c>
      <c r="D56" s="3">
        <v>9.09</v>
      </c>
      <c r="E56" s="3">
        <v>7.68</v>
      </c>
      <c r="F56" s="3">
        <v>3.82</v>
      </c>
      <c r="G56" s="3">
        <v>6.8</v>
      </c>
      <c r="H56" s="3" t="s">
        <v>206</v>
      </c>
      <c r="I56" s="3" t="s">
        <v>201</v>
      </c>
      <c r="J56" s="3" t="s">
        <v>212</v>
      </c>
      <c r="K56" s="3" t="s">
        <v>203</v>
      </c>
      <c r="L56" s="3">
        <v>2</v>
      </c>
      <c r="M56" s="3">
        <v>0</v>
      </c>
      <c r="N56" s="3" t="s">
        <v>198</v>
      </c>
      <c r="O56" s="3" t="s">
        <v>199</v>
      </c>
    </row>
    <row r="57" spans="1:15" x14ac:dyDescent="0.25">
      <c r="A57" s="3">
        <v>56</v>
      </c>
      <c r="B57" s="3">
        <v>2.11</v>
      </c>
      <c r="C57" s="3">
        <v>14</v>
      </c>
      <c r="D57" s="3">
        <v>8.82</v>
      </c>
      <c r="E57" s="3">
        <v>9.42</v>
      </c>
      <c r="F57" s="3">
        <v>2.98</v>
      </c>
      <c r="G57" s="3">
        <v>10.74</v>
      </c>
      <c r="H57" s="3" t="s">
        <v>200</v>
      </c>
      <c r="I57" s="3" t="s">
        <v>195</v>
      </c>
      <c r="J57" s="3" t="s">
        <v>196</v>
      </c>
      <c r="K57" s="3" t="s">
        <v>203</v>
      </c>
      <c r="L57" s="3">
        <v>7</v>
      </c>
      <c r="M57" s="3">
        <v>3</v>
      </c>
      <c r="N57" s="3" t="s">
        <v>204</v>
      </c>
      <c r="O57" s="3" t="s">
        <v>205</v>
      </c>
    </row>
    <row r="58" spans="1:15" x14ac:dyDescent="0.25">
      <c r="A58" s="3">
        <v>57</v>
      </c>
      <c r="B58" s="3">
        <v>2</v>
      </c>
      <c r="C58" s="3">
        <v>19</v>
      </c>
      <c r="D58" s="3">
        <v>7.47</v>
      </c>
      <c r="E58" s="3">
        <v>4.22</v>
      </c>
      <c r="F58" s="3">
        <v>1.65</v>
      </c>
      <c r="G58" s="3">
        <v>7.68</v>
      </c>
      <c r="H58" s="3" t="s">
        <v>211</v>
      </c>
      <c r="I58" s="3" t="s">
        <v>210</v>
      </c>
      <c r="J58" s="3" t="s">
        <v>212</v>
      </c>
      <c r="K58" s="3" t="s">
        <v>213</v>
      </c>
      <c r="L58" s="3">
        <v>3</v>
      </c>
      <c r="M58" s="3">
        <v>3</v>
      </c>
      <c r="N58" s="3" t="s">
        <v>204</v>
      </c>
      <c r="O58" s="3" t="s">
        <v>199</v>
      </c>
    </row>
    <row r="59" spans="1:15" x14ac:dyDescent="0.25">
      <c r="A59" s="3">
        <v>58</v>
      </c>
      <c r="B59" s="3">
        <v>1.06</v>
      </c>
      <c r="C59" s="3">
        <v>21</v>
      </c>
      <c r="D59" s="3">
        <v>11.1</v>
      </c>
      <c r="E59" s="3">
        <v>4.25</v>
      </c>
      <c r="F59" s="3">
        <v>1.88</v>
      </c>
      <c r="G59" s="3">
        <v>9.18</v>
      </c>
      <c r="H59" s="3" t="s">
        <v>200</v>
      </c>
      <c r="I59" s="3" t="s">
        <v>210</v>
      </c>
      <c r="J59" s="3" t="s">
        <v>212</v>
      </c>
      <c r="K59" s="3" t="s">
        <v>213</v>
      </c>
      <c r="L59" s="3">
        <v>4</v>
      </c>
      <c r="M59" s="3">
        <v>0</v>
      </c>
      <c r="N59" s="3" t="s">
        <v>204</v>
      </c>
      <c r="O59" s="3" t="s">
        <v>205</v>
      </c>
    </row>
    <row r="60" spans="1:15" x14ac:dyDescent="0.25">
      <c r="A60" s="3">
        <v>59</v>
      </c>
      <c r="B60" s="3">
        <v>0.56999999999999995</v>
      </c>
      <c r="C60" s="3">
        <v>11</v>
      </c>
      <c r="D60" s="3">
        <v>8.25</v>
      </c>
      <c r="E60" s="3">
        <v>3.66</v>
      </c>
      <c r="F60" s="3">
        <v>3.76</v>
      </c>
      <c r="G60" s="3">
        <v>5.49</v>
      </c>
      <c r="H60" s="3" t="s">
        <v>211</v>
      </c>
      <c r="I60" s="3" t="s">
        <v>201</v>
      </c>
      <c r="J60" s="3" t="s">
        <v>212</v>
      </c>
      <c r="K60" s="3" t="s">
        <v>209</v>
      </c>
      <c r="L60" s="3">
        <v>23</v>
      </c>
      <c r="M60" s="3">
        <v>14</v>
      </c>
      <c r="N60" s="3" t="s">
        <v>204</v>
      </c>
      <c r="O60" s="3" t="s">
        <v>199</v>
      </c>
    </row>
    <row r="61" spans="1:15" x14ac:dyDescent="0.25">
      <c r="A61" s="3">
        <v>60</v>
      </c>
      <c r="B61" s="3">
        <v>3.05</v>
      </c>
      <c r="C61" s="3">
        <v>22</v>
      </c>
      <c r="D61" s="3">
        <v>10.39</v>
      </c>
      <c r="E61" s="3">
        <v>4.1100000000000003</v>
      </c>
      <c r="F61" s="3">
        <v>3.03</v>
      </c>
      <c r="G61" s="3">
        <v>10.63</v>
      </c>
      <c r="H61" s="3" t="s">
        <v>200</v>
      </c>
      <c r="I61" s="3" t="s">
        <v>208</v>
      </c>
      <c r="J61" s="3" t="s">
        <v>196</v>
      </c>
      <c r="K61" s="3" t="s">
        <v>203</v>
      </c>
      <c r="L61" s="3">
        <v>6</v>
      </c>
      <c r="M61" s="3">
        <v>3</v>
      </c>
      <c r="N61" s="3" t="s">
        <v>198</v>
      </c>
      <c r="O61" s="3" t="s">
        <v>199</v>
      </c>
    </row>
    <row r="62" spans="1:15" x14ac:dyDescent="0.25">
      <c r="A62" s="3">
        <v>61</v>
      </c>
      <c r="B62" s="3">
        <v>4.53</v>
      </c>
      <c r="C62" s="3">
        <v>21</v>
      </c>
      <c r="D62" s="3">
        <v>4.9800000000000004</v>
      </c>
      <c r="E62" s="3">
        <v>9.26</v>
      </c>
      <c r="F62" s="3">
        <v>1.88</v>
      </c>
      <c r="G62" s="3">
        <v>12.26</v>
      </c>
      <c r="H62" s="3" t="s">
        <v>206</v>
      </c>
      <c r="I62" s="3" t="s">
        <v>210</v>
      </c>
      <c r="J62" s="3" t="s">
        <v>196</v>
      </c>
      <c r="K62" s="3" t="s">
        <v>209</v>
      </c>
      <c r="L62" s="3">
        <v>20</v>
      </c>
      <c r="M62" s="3">
        <v>15</v>
      </c>
      <c r="N62" s="3" t="s">
        <v>198</v>
      </c>
      <c r="O62" s="3" t="s">
        <v>205</v>
      </c>
    </row>
    <row r="63" spans="1:15" x14ac:dyDescent="0.25">
      <c r="A63" s="3">
        <v>62</v>
      </c>
      <c r="B63" s="3">
        <v>0.72</v>
      </c>
      <c r="C63" s="3">
        <v>27</v>
      </c>
      <c r="D63" s="3">
        <v>3.09</v>
      </c>
      <c r="E63" s="3">
        <v>3.38</v>
      </c>
      <c r="F63" s="3">
        <v>3.27</v>
      </c>
      <c r="G63" s="3">
        <v>17.45</v>
      </c>
      <c r="H63" s="3" t="s">
        <v>206</v>
      </c>
      <c r="I63" s="3" t="s">
        <v>195</v>
      </c>
      <c r="J63" s="3" t="s">
        <v>202</v>
      </c>
      <c r="K63" s="3" t="s">
        <v>209</v>
      </c>
      <c r="L63" s="3">
        <v>17</v>
      </c>
      <c r="M63" s="3">
        <v>12</v>
      </c>
      <c r="N63" s="3" t="s">
        <v>198</v>
      </c>
      <c r="O63" s="3" t="s">
        <v>205</v>
      </c>
    </row>
    <row r="64" spans="1:15" x14ac:dyDescent="0.25">
      <c r="A64" s="3">
        <v>63</v>
      </c>
      <c r="B64" s="3">
        <v>5.98</v>
      </c>
      <c r="C64" s="3">
        <v>6</v>
      </c>
      <c r="D64" s="3">
        <v>6.38</v>
      </c>
      <c r="E64" s="3">
        <v>4.2699999999999996</v>
      </c>
      <c r="F64" s="3">
        <v>4.01</v>
      </c>
      <c r="G64" s="3">
        <v>9.94</v>
      </c>
      <c r="H64" s="3" t="s">
        <v>206</v>
      </c>
      <c r="I64" s="3" t="s">
        <v>210</v>
      </c>
      <c r="J64" s="3" t="s">
        <v>196</v>
      </c>
      <c r="K64" s="3" t="s">
        <v>209</v>
      </c>
      <c r="L64" s="3">
        <v>20</v>
      </c>
      <c r="M64" s="3">
        <v>20</v>
      </c>
      <c r="N64" s="3" t="s">
        <v>198</v>
      </c>
      <c r="O64" s="3" t="s">
        <v>199</v>
      </c>
    </row>
    <row r="65" spans="1:15" x14ac:dyDescent="0.25">
      <c r="A65" s="3">
        <v>64</v>
      </c>
      <c r="B65" s="3">
        <v>2.66</v>
      </c>
      <c r="C65" s="3">
        <v>26</v>
      </c>
      <c r="D65" s="3">
        <v>4.1900000000000004</v>
      </c>
      <c r="E65" s="3">
        <v>6.48</v>
      </c>
      <c r="F65" s="3">
        <v>1.66</v>
      </c>
      <c r="G65" s="3">
        <v>17.46</v>
      </c>
      <c r="H65" s="3" t="s">
        <v>206</v>
      </c>
      <c r="I65" s="3" t="s">
        <v>208</v>
      </c>
      <c r="J65" s="3" t="s">
        <v>215</v>
      </c>
      <c r="K65" s="3" t="s">
        <v>214</v>
      </c>
      <c r="L65" s="3">
        <v>3</v>
      </c>
      <c r="M65" s="3">
        <v>0</v>
      </c>
      <c r="N65" s="3" t="s">
        <v>198</v>
      </c>
      <c r="O65" s="3" t="s">
        <v>199</v>
      </c>
    </row>
    <row r="66" spans="1:15" x14ac:dyDescent="0.25">
      <c r="A66" s="3">
        <v>65</v>
      </c>
      <c r="B66" s="3">
        <v>5.81</v>
      </c>
      <c r="C66" s="3">
        <v>10</v>
      </c>
      <c r="D66" s="3">
        <v>3.65</v>
      </c>
      <c r="E66" s="3">
        <v>3.55</v>
      </c>
      <c r="F66" s="3">
        <v>3.18</v>
      </c>
      <c r="G66" s="3">
        <v>9.3800000000000008</v>
      </c>
      <c r="H66" s="3" t="s">
        <v>211</v>
      </c>
      <c r="I66" s="3" t="s">
        <v>201</v>
      </c>
      <c r="J66" s="3" t="s">
        <v>212</v>
      </c>
      <c r="K66" s="3" t="s">
        <v>197</v>
      </c>
      <c r="L66" s="3">
        <v>13</v>
      </c>
      <c r="M66" s="3">
        <v>6</v>
      </c>
      <c r="N66" s="3" t="s">
        <v>198</v>
      </c>
      <c r="O66" s="3" t="s">
        <v>199</v>
      </c>
    </row>
    <row r="67" spans="1:15" x14ac:dyDescent="0.25">
      <c r="A67" s="3">
        <v>66</v>
      </c>
      <c r="B67" s="3">
        <v>2.5499999999999998</v>
      </c>
      <c r="C67" s="3">
        <v>21</v>
      </c>
      <c r="D67" s="3">
        <v>5.53</v>
      </c>
      <c r="E67" s="3">
        <v>6.85</v>
      </c>
      <c r="F67" s="3">
        <v>0.61</v>
      </c>
      <c r="G67" s="3">
        <v>6.37</v>
      </c>
      <c r="H67" s="3" t="s">
        <v>200</v>
      </c>
      <c r="I67" s="3" t="s">
        <v>201</v>
      </c>
      <c r="J67" s="3" t="s">
        <v>196</v>
      </c>
      <c r="K67" s="3" t="s">
        <v>203</v>
      </c>
      <c r="L67" s="3">
        <v>4</v>
      </c>
      <c r="M67" s="3">
        <v>0</v>
      </c>
      <c r="N67" s="3" t="s">
        <v>204</v>
      </c>
      <c r="O67" s="3" t="s">
        <v>205</v>
      </c>
    </row>
    <row r="68" spans="1:15" x14ac:dyDescent="0.25">
      <c r="A68" s="3">
        <v>67</v>
      </c>
      <c r="B68" s="3">
        <v>4.95</v>
      </c>
      <c r="C68" s="3">
        <v>7</v>
      </c>
      <c r="D68" s="3">
        <v>6.74</v>
      </c>
      <c r="E68" s="3">
        <v>6.2</v>
      </c>
      <c r="F68" s="3">
        <v>2.83</v>
      </c>
      <c r="G68" s="3">
        <v>18.57</v>
      </c>
      <c r="H68" s="3" t="s">
        <v>200</v>
      </c>
      <c r="I68" s="3" t="s">
        <v>201</v>
      </c>
      <c r="J68" s="3" t="s">
        <v>212</v>
      </c>
      <c r="K68" s="3" t="s">
        <v>209</v>
      </c>
      <c r="L68" s="3">
        <v>17</v>
      </c>
      <c r="M68" s="3">
        <v>15</v>
      </c>
      <c r="N68" s="3" t="s">
        <v>198</v>
      </c>
      <c r="O68" s="3" t="s">
        <v>199</v>
      </c>
    </row>
    <row r="69" spans="1:15" x14ac:dyDescent="0.25">
      <c r="A69" s="3">
        <v>68</v>
      </c>
      <c r="B69" s="3">
        <v>4.0999999999999996</v>
      </c>
      <c r="C69" s="3">
        <v>29</v>
      </c>
      <c r="D69" s="3">
        <v>9.1999999999999993</v>
      </c>
      <c r="E69" s="3">
        <v>2.0499999999999998</v>
      </c>
      <c r="F69" s="3">
        <v>3.36</v>
      </c>
      <c r="G69" s="3">
        <v>6.16</v>
      </c>
      <c r="H69" s="3" t="s">
        <v>206</v>
      </c>
      <c r="I69" s="3" t="s">
        <v>195</v>
      </c>
      <c r="J69" s="3" t="s">
        <v>215</v>
      </c>
      <c r="K69" s="3" t="s">
        <v>209</v>
      </c>
      <c r="L69" s="3">
        <v>22</v>
      </c>
      <c r="M69" s="3">
        <v>16</v>
      </c>
      <c r="N69" s="3" t="s">
        <v>198</v>
      </c>
      <c r="O69" s="3" t="s">
        <v>205</v>
      </c>
    </row>
    <row r="70" spans="1:15" x14ac:dyDescent="0.25">
      <c r="A70" s="3">
        <v>69</v>
      </c>
      <c r="B70" s="3">
        <v>4.12</v>
      </c>
      <c r="C70" s="3">
        <v>4</v>
      </c>
      <c r="D70" s="3">
        <v>6.12</v>
      </c>
      <c r="E70" s="3">
        <v>9.5500000000000007</v>
      </c>
      <c r="F70" s="3">
        <v>1.59</v>
      </c>
      <c r="G70" s="3">
        <v>11.56</v>
      </c>
      <c r="H70" s="3" t="s">
        <v>200</v>
      </c>
      <c r="I70" s="3" t="s">
        <v>210</v>
      </c>
      <c r="J70" s="3" t="s">
        <v>196</v>
      </c>
      <c r="K70" s="3" t="s">
        <v>213</v>
      </c>
      <c r="L70" s="3">
        <v>4</v>
      </c>
      <c r="M70" s="3">
        <v>0</v>
      </c>
      <c r="N70" s="3" t="s">
        <v>198</v>
      </c>
      <c r="O70" s="3" t="s">
        <v>205</v>
      </c>
    </row>
    <row r="71" spans="1:15" x14ac:dyDescent="0.25">
      <c r="A71" s="3">
        <v>70</v>
      </c>
      <c r="B71" s="3">
        <v>3.47</v>
      </c>
      <c r="C71" s="3">
        <v>5</v>
      </c>
      <c r="D71" s="3">
        <v>9.6300000000000008</v>
      </c>
      <c r="E71" s="3">
        <v>8.73</v>
      </c>
      <c r="F71" s="3">
        <v>0.86</v>
      </c>
      <c r="G71" s="3">
        <v>11.62</v>
      </c>
      <c r="H71" s="3" t="s">
        <v>181</v>
      </c>
      <c r="I71" s="3" t="s">
        <v>207</v>
      </c>
      <c r="J71" s="3" t="s">
        <v>202</v>
      </c>
      <c r="K71" s="3" t="s">
        <v>197</v>
      </c>
      <c r="L71" s="3">
        <v>14</v>
      </c>
      <c r="M71" s="3">
        <v>10</v>
      </c>
      <c r="N71" s="3" t="s">
        <v>204</v>
      </c>
      <c r="O71" s="3" t="s">
        <v>199</v>
      </c>
    </row>
    <row r="72" spans="1:15" x14ac:dyDescent="0.25">
      <c r="A72" s="3">
        <v>71</v>
      </c>
      <c r="B72" s="3">
        <v>3.18</v>
      </c>
      <c r="C72" s="3">
        <v>14</v>
      </c>
      <c r="D72" s="3">
        <v>5.47</v>
      </c>
      <c r="E72" s="3">
        <v>7.48</v>
      </c>
      <c r="F72" s="3">
        <v>0.98</v>
      </c>
      <c r="G72" s="3">
        <v>12.66</v>
      </c>
      <c r="H72" s="3" t="s">
        <v>181</v>
      </c>
      <c r="I72" s="3" t="s">
        <v>208</v>
      </c>
      <c r="J72" s="3" t="s">
        <v>215</v>
      </c>
      <c r="K72" s="3" t="s">
        <v>203</v>
      </c>
      <c r="L72" s="3">
        <v>19</v>
      </c>
      <c r="M72" s="3">
        <v>17</v>
      </c>
      <c r="N72" s="3" t="s">
        <v>198</v>
      </c>
      <c r="O72" s="3" t="s">
        <v>205</v>
      </c>
    </row>
    <row r="73" spans="1:15" x14ac:dyDescent="0.25">
      <c r="A73" s="3">
        <v>72</v>
      </c>
      <c r="B73" s="3">
        <v>5.0599999999999996</v>
      </c>
      <c r="C73" s="3">
        <v>5</v>
      </c>
      <c r="D73" s="3">
        <v>10.89</v>
      </c>
      <c r="E73" s="3">
        <v>7.45</v>
      </c>
      <c r="F73" s="3">
        <v>3.35</v>
      </c>
      <c r="G73" s="3">
        <v>10.9</v>
      </c>
      <c r="H73" s="3" t="s">
        <v>211</v>
      </c>
      <c r="I73" s="3" t="s">
        <v>195</v>
      </c>
      <c r="J73" s="3" t="s">
        <v>196</v>
      </c>
      <c r="K73" s="3" t="s">
        <v>209</v>
      </c>
      <c r="L73" s="3">
        <v>20</v>
      </c>
      <c r="M73" s="3">
        <v>14</v>
      </c>
      <c r="N73" s="3" t="s">
        <v>198</v>
      </c>
      <c r="O73" s="3" t="s">
        <v>199</v>
      </c>
    </row>
    <row r="74" spans="1:15" x14ac:dyDescent="0.25">
      <c r="A74" s="3">
        <v>73</v>
      </c>
      <c r="B74" s="3">
        <v>2</v>
      </c>
      <c r="C74" s="3">
        <v>12</v>
      </c>
      <c r="D74" s="3">
        <v>9.76</v>
      </c>
      <c r="E74" s="3">
        <v>6.03</v>
      </c>
      <c r="F74" s="3">
        <v>1.62</v>
      </c>
      <c r="G74" s="3">
        <v>18.510000000000002</v>
      </c>
      <c r="H74" s="3" t="s">
        <v>181</v>
      </c>
      <c r="I74" s="3" t="s">
        <v>210</v>
      </c>
      <c r="J74" s="3" t="s">
        <v>202</v>
      </c>
      <c r="K74" s="3" t="s">
        <v>203</v>
      </c>
      <c r="L74" s="3">
        <v>13</v>
      </c>
      <c r="M74" s="3">
        <v>4</v>
      </c>
      <c r="N74" s="3" t="s">
        <v>198</v>
      </c>
      <c r="O74" s="3" t="s">
        <v>199</v>
      </c>
    </row>
    <row r="75" spans="1:15" x14ac:dyDescent="0.25">
      <c r="A75" s="3">
        <v>74</v>
      </c>
      <c r="B75" s="3">
        <v>6.13</v>
      </c>
      <c r="C75" s="3">
        <v>20</v>
      </c>
      <c r="D75" s="3">
        <v>3.24</v>
      </c>
      <c r="E75" s="3">
        <v>4.51</v>
      </c>
      <c r="F75" s="3">
        <v>3.62</v>
      </c>
      <c r="G75" s="3">
        <v>13.26</v>
      </c>
      <c r="H75" s="3" t="s">
        <v>206</v>
      </c>
      <c r="I75" s="3" t="s">
        <v>201</v>
      </c>
      <c r="J75" s="3" t="s">
        <v>202</v>
      </c>
      <c r="K75" s="3" t="s">
        <v>213</v>
      </c>
      <c r="L75" s="3">
        <v>16</v>
      </c>
      <c r="M75" s="3">
        <v>8</v>
      </c>
      <c r="N75" s="3" t="s">
        <v>198</v>
      </c>
      <c r="O75" s="3" t="s">
        <v>205</v>
      </c>
    </row>
    <row r="76" spans="1:15" x14ac:dyDescent="0.25">
      <c r="A76" s="3">
        <v>75</v>
      </c>
      <c r="B76" s="3">
        <v>5.04</v>
      </c>
      <c r="C76" s="3">
        <v>9</v>
      </c>
      <c r="D76" s="3">
        <v>10.89</v>
      </c>
      <c r="E76" s="3">
        <v>2.92</v>
      </c>
      <c r="F76" s="3">
        <v>4.21</v>
      </c>
      <c r="G76" s="3">
        <v>8.1999999999999993</v>
      </c>
      <c r="H76" s="3" t="s">
        <v>211</v>
      </c>
      <c r="I76" s="3" t="s">
        <v>201</v>
      </c>
      <c r="J76" s="3" t="s">
        <v>196</v>
      </c>
      <c r="K76" s="3" t="s">
        <v>209</v>
      </c>
      <c r="L76" s="3">
        <v>10</v>
      </c>
      <c r="M76" s="3">
        <v>9</v>
      </c>
      <c r="N76" s="3" t="s">
        <v>204</v>
      </c>
      <c r="O76" s="3" t="s">
        <v>199</v>
      </c>
    </row>
    <row r="77" spans="1:15" x14ac:dyDescent="0.25">
      <c r="A77" s="3">
        <v>76</v>
      </c>
      <c r="B77" s="3">
        <v>1.81</v>
      </c>
      <c r="C77" s="3">
        <v>10</v>
      </c>
      <c r="D77" s="3">
        <v>4.6100000000000003</v>
      </c>
      <c r="E77" s="3">
        <v>5.79</v>
      </c>
      <c r="F77" s="3">
        <v>1.99</v>
      </c>
      <c r="G77" s="3">
        <v>8.3800000000000008</v>
      </c>
      <c r="H77" s="3" t="s">
        <v>200</v>
      </c>
      <c r="I77" s="3" t="s">
        <v>195</v>
      </c>
      <c r="J77" s="3" t="s">
        <v>196</v>
      </c>
      <c r="K77" s="3" t="s">
        <v>213</v>
      </c>
      <c r="L77" s="3">
        <v>15</v>
      </c>
      <c r="M77" s="3">
        <v>15</v>
      </c>
      <c r="N77" s="3" t="s">
        <v>198</v>
      </c>
      <c r="O77" s="3" t="s">
        <v>199</v>
      </c>
    </row>
    <row r="78" spans="1:15" x14ac:dyDescent="0.25">
      <c r="A78" s="3">
        <v>77</v>
      </c>
      <c r="B78" s="3">
        <v>2.88</v>
      </c>
      <c r="C78" s="3">
        <v>10</v>
      </c>
      <c r="D78" s="3">
        <v>4.8099999999999996</v>
      </c>
      <c r="E78" s="3">
        <v>4.82</v>
      </c>
      <c r="F78" s="3">
        <v>4.24</v>
      </c>
      <c r="G78" s="3">
        <v>20.2</v>
      </c>
      <c r="H78" s="3" t="s">
        <v>211</v>
      </c>
      <c r="I78" s="3" t="s">
        <v>195</v>
      </c>
      <c r="J78" s="3" t="s">
        <v>212</v>
      </c>
      <c r="K78" s="3" t="s">
        <v>203</v>
      </c>
      <c r="L78" s="3">
        <v>14</v>
      </c>
      <c r="M78" s="3">
        <v>10</v>
      </c>
      <c r="N78" s="3" t="s">
        <v>204</v>
      </c>
      <c r="O78" s="3" t="s">
        <v>205</v>
      </c>
    </row>
    <row r="79" spans="1:15" x14ac:dyDescent="0.25">
      <c r="A79" s="3">
        <v>78</v>
      </c>
      <c r="B79" s="3">
        <v>2.66</v>
      </c>
      <c r="C79" s="3">
        <v>27</v>
      </c>
      <c r="D79" s="3">
        <v>4.16</v>
      </c>
      <c r="E79" s="3">
        <v>7.73</v>
      </c>
      <c r="F79" s="3">
        <v>0.96</v>
      </c>
      <c r="G79" s="3">
        <v>18.98</v>
      </c>
      <c r="H79" s="3" t="s">
        <v>200</v>
      </c>
      <c r="I79" s="3" t="s">
        <v>208</v>
      </c>
      <c r="J79" s="3" t="s">
        <v>212</v>
      </c>
      <c r="K79" s="3" t="s">
        <v>209</v>
      </c>
      <c r="L79" s="3">
        <v>9</v>
      </c>
      <c r="M79" s="3">
        <v>4</v>
      </c>
      <c r="N79" s="3" t="s">
        <v>204</v>
      </c>
      <c r="O79" s="3" t="s">
        <v>199</v>
      </c>
    </row>
    <row r="80" spans="1:15" x14ac:dyDescent="0.25">
      <c r="A80" s="3">
        <v>79</v>
      </c>
      <c r="B80" s="3">
        <v>4.57</v>
      </c>
      <c r="C80" s="3">
        <v>5</v>
      </c>
      <c r="D80" s="3">
        <v>8.6</v>
      </c>
      <c r="E80" s="3">
        <v>3.71</v>
      </c>
      <c r="F80" s="3">
        <v>2.37</v>
      </c>
      <c r="G80" s="3">
        <v>15.29</v>
      </c>
      <c r="H80" s="3" t="s">
        <v>181</v>
      </c>
      <c r="I80" s="3" t="s">
        <v>207</v>
      </c>
      <c r="J80" s="3" t="s">
        <v>196</v>
      </c>
      <c r="K80" s="3" t="s">
        <v>214</v>
      </c>
      <c r="L80" s="3">
        <v>4</v>
      </c>
      <c r="M80" s="3">
        <v>0</v>
      </c>
      <c r="N80" s="3" t="s">
        <v>204</v>
      </c>
      <c r="O80" s="3" t="s">
        <v>199</v>
      </c>
    </row>
    <row r="81" spans="1:15" x14ac:dyDescent="0.25">
      <c r="A81" s="3">
        <v>80</v>
      </c>
      <c r="B81" s="3">
        <v>4.09</v>
      </c>
      <c r="C81" s="3">
        <v>8</v>
      </c>
      <c r="D81" s="3">
        <v>5.79</v>
      </c>
      <c r="E81" s="3">
        <v>4.83</v>
      </c>
      <c r="F81" s="3">
        <v>2.59</v>
      </c>
      <c r="G81" s="3">
        <v>6.28</v>
      </c>
      <c r="H81" s="3" t="s">
        <v>200</v>
      </c>
      <c r="I81" s="3" t="s">
        <v>201</v>
      </c>
      <c r="J81" s="3" t="s">
        <v>215</v>
      </c>
      <c r="K81" s="3" t="s">
        <v>214</v>
      </c>
      <c r="L81" s="3">
        <v>16</v>
      </c>
      <c r="M81" s="3">
        <v>6</v>
      </c>
      <c r="N81" s="3" t="s">
        <v>204</v>
      </c>
      <c r="O81" s="3" t="s">
        <v>199</v>
      </c>
    </row>
    <row r="82" spans="1:15" x14ac:dyDescent="0.25">
      <c r="A82" s="3">
        <v>81</v>
      </c>
      <c r="B82" s="3">
        <v>4.87</v>
      </c>
      <c r="C82" s="3">
        <v>10</v>
      </c>
      <c r="D82" s="3">
        <v>10.23</v>
      </c>
      <c r="E82" s="3">
        <v>7.25</v>
      </c>
      <c r="F82" s="3">
        <v>4.37</v>
      </c>
      <c r="G82" s="3">
        <v>20.27</v>
      </c>
      <c r="H82" s="3" t="s">
        <v>181</v>
      </c>
      <c r="I82" s="3" t="s">
        <v>208</v>
      </c>
      <c r="J82" s="3" t="s">
        <v>196</v>
      </c>
      <c r="K82" s="3" t="s">
        <v>213</v>
      </c>
      <c r="L82" s="3">
        <v>11</v>
      </c>
      <c r="M82" s="3">
        <v>9</v>
      </c>
      <c r="N82" s="3" t="s">
        <v>198</v>
      </c>
      <c r="O82" s="3" t="s">
        <v>199</v>
      </c>
    </row>
    <row r="83" spans="1:15" x14ac:dyDescent="0.25">
      <c r="A83" s="3">
        <v>82</v>
      </c>
      <c r="B83" s="3">
        <v>5.14</v>
      </c>
      <c r="C83" s="3">
        <v>6</v>
      </c>
      <c r="D83" s="3">
        <v>10.75</v>
      </c>
      <c r="E83" s="3">
        <v>8.59</v>
      </c>
      <c r="F83" s="3">
        <v>2.35</v>
      </c>
      <c r="G83" s="3">
        <v>20.149999999999999</v>
      </c>
      <c r="H83" s="3" t="s">
        <v>206</v>
      </c>
      <c r="I83" s="3" t="s">
        <v>208</v>
      </c>
      <c r="J83" s="3" t="s">
        <v>196</v>
      </c>
      <c r="K83" s="3" t="s">
        <v>213</v>
      </c>
      <c r="L83" s="3">
        <v>3</v>
      </c>
      <c r="M83" s="3">
        <v>0</v>
      </c>
      <c r="N83" s="3" t="s">
        <v>198</v>
      </c>
      <c r="O83" s="3" t="s">
        <v>199</v>
      </c>
    </row>
    <row r="84" spans="1:15" x14ac:dyDescent="0.25">
      <c r="A84" s="3">
        <v>83</v>
      </c>
      <c r="B84" s="3">
        <v>2.79</v>
      </c>
      <c r="C84" s="3">
        <v>5</v>
      </c>
      <c r="D84" s="3">
        <v>3.47</v>
      </c>
      <c r="E84" s="3">
        <v>2.1</v>
      </c>
      <c r="F84" s="3">
        <v>3.25</v>
      </c>
      <c r="G84" s="3">
        <v>6.33</v>
      </c>
      <c r="H84" s="3" t="s">
        <v>211</v>
      </c>
      <c r="I84" s="3" t="s">
        <v>207</v>
      </c>
      <c r="J84" s="3" t="s">
        <v>215</v>
      </c>
      <c r="K84" s="3" t="s">
        <v>203</v>
      </c>
      <c r="L84" s="3">
        <v>5</v>
      </c>
      <c r="M84" s="3">
        <v>3</v>
      </c>
      <c r="N84" s="3" t="s">
        <v>204</v>
      </c>
      <c r="O84" s="3" t="s">
        <v>199</v>
      </c>
    </row>
    <row r="85" spans="1:15" x14ac:dyDescent="0.25">
      <c r="A85" s="3">
        <v>84</v>
      </c>
      <c r="B85" s="3">
        <v>1.84</v>
      </c>
      <c r="C85" s="3">
        <v>9</v>
      </c>
      <c r="D85" s="3">
        <v>5.74</v>
      </c>
      <c r="E85" s="3">
        <v>6.57</v>
      </c>
      <c r="F85" s="3">
        <v>1.1100000000000001</v>
      </c>
      <c r="G85" s="3">
        <v>24.13</v>
      </c>
      <c r="H85" s="3" t="s">
        <v>200</v>
      </c>
      <c r="I85" s="3" t="s">
        <v>210</v>
      </c>
      <c r="J85" s="3" t="s">
        <v>202</v>
      </c>
      <c r="K85" s="3" t="s">
        <v>203</v>
      </c>
      <c r="L85" s="3">
        <v>24</v>
      </c>
      <c r="M85" s="3">
        <v>17</v>
      </c>
      <c r="N85" s="3" t="s">
        <v>204</v>
      </c>
      <c r="O85" s="3" t="s">
        <v>199</v>
      </c>
    </row>
    <row r="86" spans="1:15" x14ac:dyDescent="0.25">
      <c r="A86" s="3">
        <v>85</v>
      </c>
      <c r="B86" s="3">
        <v>3.12</v>
      </c>
      <c r="C86" s="3">
        <v>20</v>
      </c>
      <c r="D86" s="3">
        <v>11.25</v>
      </c>
      <c r="E86" s="3">
        <v>9.26</v>
      </c>
      <c r="F86" s="3">
        <v>3.33</v>
      </c>
      <c r="G86" s="3">
        <v>6.55</v>
      </c>
      <c r="H86" s="3" t="s">
        <v>181</v>
      </c>
      <c r="I86" s="3" t="s">
        <v>201</v>
      </c>
      <c r="J86" s="3" t="s">
        <v>196</v>
      </c>
      <c r="K86" s="3" t="s">
        <v>209</v>
      </c>
      <c r="L86" s="3">
        <v>24</v>
      </c>
      <c r="M86" s="3">
        <v>20</v>
      </c>
      <c r="N86" s="3" t="s">
        <v>204</v>
      </c>
      <c r="O86" s="3" t="s">
        <v>205</v>
      </c>
    </row>
    <row r="87" spans="1:15" x14ac:dyDescent="0.25">
      <c r="A87" s="3">
        <v>86</v>
      </c>
      <c r="B87" s="3">
        <v>4.72</v>
      </c>
      <c r="C87" s="3">
        <v>17</v>
      </c>
      <c r="D87" s="3">
        <v>4.4800000000000004</v>
      </c>
      <c r="E87" s="3">
        <v>7.44</v>
      </c>
      <c r="F87" s="3">
        <v>1.1100000000000001</v>
      </c>
      <c r="G87" s="3">
        <v>11.91</v>
      </c>
      <c r="H87" s="3" t="s">
        <v>206</v>
      </c>
      <c r="I87" s="3" t="s">
        <v>207</v>
      </c>
      <c r="J87" s="3" t="s">
        <v>196</v>
      </c>
      <c r="K87" s="3" t="s">
        <v>203</v>
      </c>
      <c r="L87" s="3">
        <v>22</v>
      </c>
      <c r="M87" s="3">
        <v>19</v>
      </c>
      <c r="N87" s="3" t="s">
        <v>204</v>
      </c>
      <c r="O87" s="3" t="s">
        <v>205</v>
      </c>
    </row>
    <row r="88" spans="1:15" x14ac:dyDescent="0.25">
      <c r="A88" s="3">
        <v>87</v>
      </c>
      <c r="B88" s="3">
        <v>6.47</v>
      </c>
      <c r="C88" s="3">
        <v>15</v>
      </c>
      <c r="D88" s="3">
        <v>7.43</v>
      </c>
      <c r="E88" s="3">
        <v>7.16</v>
      </c>
      <c r="F88" s="3">
        <v>1.34</v>
      </c>
      <c r="G88" s="3">
        <v>5.48</v>
      </c>
      <c r="H88" s="3" t="s">
        <v>211</v>
      </c>
      <c r="I88" s="3" t="s">
        <v>208</v>
      </c>
      <c r="J88" s="3" t="s">
        <v>212</v>
      </c>
      <c r="K88" s="3" t="s">
        <v>209</v>
      </c>
      <c r="L88" s="3">
        <v>11</v>
      </c>
      <c r="M88" s="3">
        <v>1</v>
      </c>
      <c r="N88" s="3" t="s">
        <v>198</v>
      </c>
      <c r="O88" s="3" t="s">
        <v>205</v>
      </c>
    </row>
    <row r="89" spans="1:15" x14ac:dyDescent="0.25">
      <c r="A89" s="3">
        <v>88</v>
      </c>
      <c r="B89" s="3">
        <v>1.74</v>
      </c>
      <c r="C89" s="3">
        <v>30</v>
      </c>
      <c r="D89" s="3">
        <v>3.95</v>
      </c>
      <c r="E89" s="3">
        <v>3.9</v>
      </c>
      <c r="F89" s="3">
        <v>2.3199999999999998</v>
      </c>
      <c r="G89" s="3">
        <v>22.64</v>
      </c>
      <c r="H89" s="3" t="s">
        <v>200</v>
      </c>
      <c r="I89" s="3" t="s">
        <v>201</v>
      </c>
      <c r="J89" s="3" t="s">
        <v>196</v>
      </c>
      <c r="K89" s="3" t="s">
        <v>213</v>
      </c>
      <c r="L89" s="3">
        <v>23</v>
      </c>
      <c r="M89" s="3">
        <v>16</v>
      </c>
      <c r="N89" s="3" t="s">
        <v>198</v>
      </c>
      <c r="O89" s="3" t="s">
        <v>205</v>
      </c>
    </row>
    <row r="90" spans="1:15" x14ac:dyDescent="0.25">
      <c r="A90" s="3">
        <v>89</v>
      </c>
      <c r="B90" s="3">
        <v>6.37</v>
      </c>
      <c r="C90" s="3">
        <v>9</v>
      </c>
      <c r="D90" s="3">
        <v>11.68</v>
      </c>
      <c r="E90" s="3">
        <v>5.29</v>
      </c>
      <c r="F90" s="3">
        <v>3.47</v>
      </c>
      <c r="G90" s="3">
        <v>8.61</v>
      </c>
      <c r="H90" s="3" t="s">
        <v>181</v>
      </c>
      <c r="I90" s="3" t="s">
        <v>207</v>
      </c>
      <c r="J90" s="3" t="s">
        <v>202</v>
      </c>
      <c r="K90" s="3" t="s">
        <v>209</v>
      </c>
      <c r="L90" s="3">
        <v>24</v>
      </c>
      <c r="M90" s="3">
        <v>21</v>
      </c>
      <c r="N90" s="3" t="s">
        <v>204</v>
      </c>
      <c r="O90" s="3" t="s">
        <v>205</v>
      </c>
    </row>
    <row r="91" spans="1:15" x14ac:dyDescent="0.25">
      <c r="A91" s="3">
        <v>90</v>
      </c>
      <c r="B91" s="3">
        <v>2.36</v>
      </c>
      <c r="C91" s="3">
        <v>25</v>
      </c>
      <c r="D91" s="3">
        <v>4.0199999999999996</v>
      </c>
      <c r="E91" s="3">
        <v>3.3</v>
      </c>
      <c r="F91" s="3">
        <v>2.5499999999999998</v>
      </c>
      <c r="G91" s="3">
        <v>9.82</v>
      </c>
      <c r="H91" s="3" t="s">
        <v>181</v>
      </c>
      <c r="I91" s="3" t="s">
        <v>208</v>
      </c>
      <c r="J91" s="3" t="s">
        <v>215</v>
      </c>
      <c r="K91" s="3" t="s">
        <v>197</v>
      </c>
      <c r="L91" s="3">
        <v>16</v>
      </c>
      <c r="M91" s="3">
        <v>16</v>
      </c>
      <c r="N91" s="3" t="s">
        <v>198</v>
      </c>
      <c r="O91" s="3" t="s">
        <v>205</v>
      </c>
    </row>
    <row r="92" spans="1:15" x14ac:dyDescent="0.25">
      <c r="A92" s="3">
        <v>91</v>
      </c>
      <c r="B92" s="3">
        <v>4.8</v>
      </c>
      <c r="C92" s="3">
        <v>14</v>
      </c>
      <c r="D92" s="3">
        <v>10.84</v>
      </c>
      <c r="E92" s="3">
        <v>8.07</v>
      </c>
      <c r="F92" s="3">
        <v>3.22</v>
      </c>
      <c r="G92" s="3">
        <v>8.6300000000000008</v>
      </c>
      <c r="H92" s="3" t="s">
        <v>200</v>
      </c>
      <c r="I92" s="3" t="s">
        <v>201</v>
      </c>
      <c r="J92" s="3" t="s">
        <v>215</v>
      </c>
      <c r="K92" s="3" t="s">
        <v>197</v>
      </c>
      <c r="L92" s="3">
        <v>4</v>
      </c>
      <c r="M92" s="3">
        <v>0</v>
      </c>
      <c r="N92" s="3" t="s">
        <v>198</v>
      </c>
      <c r="O92" s="3" t="s">
        <v>199</v>
      </c>
    </row>
    <row r="93" spans="1:15" x14ac:dyDescent="0.25">
      <c r="A93" s="3">
        <v>92</v>
      </c>
      <c r="B93" s="3">
        <v>2.2599999999999998</v>
      </c>
      <c r="C93" s="3">
        <v>6</v>
      </c>
      <c r="D93" s="3">
        <v>10.98</v>
      </c>
      <c r="E93" s="3">
        <v>6.18</v>
      </c>
      <c r="F93" s="3">
        <v>3.93</v>
      </c>
      <c r="G93" s="3">
        <v>20.69</v>
      </c>
      <c r="H93" s="3" t="s">
        <v>206</v>
      </c>
      <c r="I93" s="3" t="s">
        <v>208</v>
      </c>
      <c r="J93" s="3" t="s">
        <v>215</v>
      </c>
      <c r="K93" s="3" t="s">
        <v>209</v>
      </c>
      <c r="L93" s="3">
        <v>0</v>
      </c>
      <c r="M93" s="3">
        <v>0</v>
      </c>
      <c r="N93" s="3" t="s">
        <v>198</v>
      </c>
      <c r="O93" s="3" t="s">
        <v>199</v>
      </c>
    </row>
    <row r="94" spans="1:15" x14ac:dyDescent="0.25">
      <c r="A94" s="3">
        <v>93</v>
      </c>
      <c r="B94" s="3">
        <v>4.41</v>
      </c>
      <c r="C94" s="3">
        <v>16</v>
      </c>
      <c r="D94" s="3">
        <v>9.16</v>
      </c>
      <c r="E94" s="3">
        <v>2.4700000000000002</v>
      </c>
      <c r="F94" s="3">
        <v>3.32</v>
      </c>
      <c r="G94" s="3">
        <v>16.09</v>
      </c>
      <c r="H94" s="3" t="s">
        <v>211</v>
      </c>
      <c r="I94" s="3" t="s">
        <v>208</v>
      </c>
      <c r="J94" s="3" t="s">
        <v>196</v>
      </c>
      <c r="K94" s="3" t="s">
        <v>197</v>
      </c>
      <c r="L94" s="3">
        <v>25</v>
      </c>
      <c r="M94" s="3">
        <v>15</v>
      </c>
      <c r="N94" s="3" t="s">
        <v>204</v>
      </c>
      <c r="O94" s="3" t="s">
        <v>199</v>
      </c>
    </row>
    <row r="95" spans="1:15" x14ac:dyDescent="0.25">
      <c r="A95" s="3">
        <v>94</v>
      </c>
      <c r="B95" s="3">
        <v>3.56</v>
      </c>
      <c r="C95" s="3">
        <v>30</v>
      </c>
      <c r="D95" s="3">
        <v>8.64</v>
      </c>
      <c r="E95" s="3">
        <v>6.67</v>
      </c>
      <c r="F95" s="3">
        <v>0.75</v>
      </c>
      <c r="G95" s="3">
        <v>16.600000000000001</v>
      </c>
      <c r="H95" s="3" t="s">
        <v>206</v>
      </c>
      <c r="I95" s="3" t="s">
        <v>207</v>
      </c>
      <c r="J95" s="3" t="s">
        <v>196</v>
      </c>
      <c r="K95" s="3" t="s">
        <v>203</v>
      </c>
      <c r="L95" s="3">
        <v>3</v>
      </c>
      <c r="M95" s="3">
        <v>0</v>
      </c>
      <c r="N95" s="3" t="s">
        <v>204</v>
      </c>
      <c r="O95" s="3" t="s">
        <v>199</v>
      </c>
    </row>
    <row r="96" spans="1:15" x14ac:dyDescent="0.25">
      <c r="A96" s="3">
        <v>95</v>
      </c>
      <c r="B96" s="3">
        <v>1.1000000000000001</v>
      </c>
      <c r="C96" s="3">
        <v>20</v>
      </c>
      <c r="D96" s="3">
        <v>3.69</v>
      </c>
      <c r="E96" s="3">
        <v>8.8800000000000008</v>
      </c>
      <c r="F96" s="3">
        <v>3.94</v>
      </c>
      <c r="G96" s="3">
        <v>10.91</v>
      </c>
      <c r="H96" s="3" t="s">
        <v>211</v>
      </c>
      <c r="I96" s="3" t="s">
        <v>207</v>
      </c>
      <c r="J96" s="3" t="s">
        <v>215</v>
      </c>
      <c r="K96" s="3" t="s">
        <v>197</v>
      </c>
      <c r="L96" s="3">
        <v>22</v>
      </c>
      <c r="M96" s="3">
        <v>16</v>
      </c>
      <c r="N96" s="3" t="s">
        <v>204</v>
      </c>
      <c r="O96" s="3" t="s">
        <v>205</v>
      </c>
    </row>
    <row r="97" spans="1:15" x14ac:dyDescent="0.25">
      <c r="A97" s="3">
        <v>96</v>
      </c>
      <c r="B97" s="3">
        <v>0.92</v>
      </c>
      <c r="C97" s="3">
        <v>7</v>
      </c>
      <c r="D97" s="3">
        <v>4.42</v>
      </c>
      <c r="E97" s="3">
        <v>7.56</v>
      </c>
      <c r="F97" s="3">
        <v>2.83</v>
      </c>
      <c r="G97" s="3">
        <v>22</v>
      </c>
      <c r="H97" s="3" t="s">
        <v>200</v>
      </c>
      <c r="I97" s="3" t="s">
        <v>207</v>
      </c>
      <c r="J97" s="3" t="s">
        <v>202</v>
      </c>
      <c r="K97" s="3" t="s">
        <v>197</v>
      </c>
      <c r="L97" s="3">
        <v>15</v>
      </c>
      <c r="M97" s="3">
        <v>15</v>
      </c>
      <c r="N97" s="3" t="s">
        <v>198</v>
      </c>
      <c r="O97" s="3" t="s">
        <v>205</v>
      </c>
    </row>
    <row r="98" spans="1:15" x14ac:dyDescent="0.25">
      <c r="A98" s="3">
        <v>97</v>
      </c>
      <c r="B98" s="3">
        <v>0.51</v>
      </c>
      <c r="C98" s="3">
        <v>28</v>
      </c>
      <c r="D98" s="3">
        <v>4.6500000000000004</v>
      </c>
      <c r="E98" s="3">
        <v>2.12</v>
      </c>
      <c r="F98" s="3">
        <v>4.3099999999999996</v>
      </c>
      <c r="G98" s="3">
        <v>7.72</v>
      </c>
      <c r="H98" s="3" t="s">
        <v>200</v>
      </c>
      <c r="I98" s="3" t="s">
        <v>207</v>
      </c>
      <c r="J98" s="3" t="s">
        <v>212</v>
      </c>
      <c r="K98" s="3" t="s">
        <v>203</v>
      </c>
      <c r="L98" s="3">
        <v>8</v>
      </c>
      <c r="M98" s="3">
        <v>7</v>
      </c>
      <c r="N98" s="3" t="s">
        <v>198</v>
      </c>
      <c r="O98" s="3" t="s">
        <v>199</v>
      </c>
    </row>
    <row r="99" spans="1:15" x14ac:dyDescent="0.25">
      <c r="A99" s="3">
        <v>98</v>
      </c>
      <c r="B99" s="3">
        <v>2.89</v>
      </c>
      <c r="C99" s="3">
        <v>21</v>
      </c>
      <c r="D99" s="3">
        <v>4.91</v>
      </c>
      <c r="E99" s="3">
        <v>6.35</v>
      </c>
      <c r="F99" s="3">
        <v>3.72</v>
      </c>
      <c r="G99" s="3">
        <v>11.66</v>
      </c>
      <c r="H99" s="3" t="s">
        <v>200</v>
      </c>
      <c r="I99" s="3" t="s">
        <v>201</v>
      </c>
      <c r="J99" s="3" t="s">
        <v>212</v>
      </c>
      <c r="K99" s="3" t="s">
        <v>209</v>
      </c>
      <c r="L99" s="3">
        <v>9</v>
      </c>
      <c r="M99" s="3">
        <v>8</v>
      </c>
      <c r="N99" s="3" t="s">
        <v>198</v>
      </c>
      <c r="O99" s="3" t="s">
        <v>199</v>
      </c>
    </row>
    <row r="100" spans="1:15" x14ac:dyDescent="0.25">
      <c r="A100" s="3">
        <v>99</v>
      </c>
      <c r="B100" s="3">
        <v>1.52</v>
      </c>
      <c r="C100" s="3">
        <v>12</v>
      </c>
      <c r="D100" s="3">
        <v>6.67</v>
      </c>
      <c r="E100" s="3">
        <v>6.58</v>
      </c>
      <c r="F100" s="3">
        <v>0.98</v>
      </c>
      <c r="G100" s="3">
        <v>19.53</v>
      </c>
      <c r="H100" s="3" t="s">
        <v>181</v>
      </c>
      <c r="I100" s="3" t="s">
        <v>195</v>
      </c>
      <c r="J100" s="3" t="s">
        <v>196</v>
      </c>
      <c r="K100" s="3" t="s">
        <v>213</v>
      </c>
      <c r="L100" s="3">
        <v>24</v>
      </c>
      <c r="M100" s="3">
        <v>21</v>
      </c>
      <c r="N100" s="3" t="s">
        <v>204</v>
      </c>
      <c r="O100" s="3" t="s">
        <v>205</v>
      </c>
    </row>
    <row r="101" spans="1:15" x14ac:dyDescent="0.25">
      <c r="A101" s="3">
        <v>100</v>
      </c>
      <c r="B101" s="3">
        <v>0.83</v>
      </c>
      <c r="C101" s="3">
        <v>5</v>
      </c>
      <c r="D101" s="3">
        <v>9.41</v>
      </c>
      <c r="E101" s="3">
        <v>6.58</v>
      </c>
      <c r="F101" s="3">
        <v>3.52</v>
      </c>
      <c r="G101" s="3">
        <v>9.58</v>
      </c>
      <c r="H101" s="3" t="s">
        <v>206</v>
      </c>
      <c r="I101" s="3" t="s">
        <v>210</v>
      </c>
      <c r="J101" s="3" t="s">
        <v>196</v>
      </c>
      <c r="K101" s="3" t="s">
        <v>209</v>
      </c>
      <c r="L101" s="3">
        <v>14</v>
      </c>
      <c r="M101" s="3">
        <v>13</v>
      </c>
      <c r="N101" s="3" t="s">
        <v>204</v>
      </c>
      <c r="O101" s="3" t="s">
        <v>199</v>
      </c>
    </row>
    <row r="102" spans="1:15" x14ac:dyDescent="0.25">
      <c r="A102" s="3">
        <v>101</v>
      </c>
      <c r="B102" s="3">
        <v>3.14</v>
      </c>
      <c r="C102" s="3">
        <v>17</v>
      </c>
      <c r="D102" s="3">
        <v>7.82</v>
      </c>
      <c r="E102" s="3">
        <v>5.78</v>
      </c>
      <c r="F102" s="3">
        <v>3.42</v>
      </c>
      <c r="G102" s="3">
        <v>12.37</v>
      </c>
      <c r="H102" s="3" t="s">
        <v>211</v>
      </c>
      <c r="I102" s="3" t="s">
        <v>210</v>
      </c>
      <c r="J102" s="3" t="s">
        <v>196</v>
      </c>
      <c r="K102" s="3" t="s">
        <v>214</v>
      </c>
      <c r="L102" s="3">
        <v>4</v>
      </c>
      <c r="M102" s="3">
        <v>4</v>
      </c>
      <c r="N102" s="3" t="s">
        <v>198</v>
      </c>
      <c r="O102" s="3" t="s">
        <v>205</v>
      </c>
    </row>
    <row r="103" spans="1:15" x14ac:dyDescent="0.25">
      <c r="A103" s="3">
        <v>102</v>
      </c>
      <c r="B103" s="3">
        <v>0.54</v>
      </c>
      <c r="C103" s="3">
        <v>20</v>
      </c>
      <c r="D103" s="3">
        <v>8.34</v>
      </c>
      <c r="E103" s="3">
        <v>3.19</v>
      </c>
      <c r="F103" s="3">
        <v>4.03</v>
      </c>
      <c r="G103" s="3">
        <v>13.2</v>
      </c>
      <c r="H103" s="3" t="s">
        <v>206</v>
      </c>
      <c r="I103" s="3" t="s">
        <v>210</v>
      </c>
      <c r="J103" s="3" t="s">
        <v>215</v>
      </c>
      <c r="K103" s="3" t="s">
        <v>214</v>
      </c>
      <c r="L103" s="3">
        <v>2</v>
      </c>
      <c r="M103" s="3">
        <v>0</v>
      </c>
      <c r="N103" s="3" t="s">
        <v>198</v>
      </c>
      <c r="O103" s="3" t="s">
        <v>199</v>
      </c>
    </row>
    <row r="104" spans="1:15" x14ac:dyDescent="0.25">
      <c r="A104" s="3">
        <v>103</v>
      </c>
      <c r="B104" s="3">
        <v>0.6</v>
      </c>
      <c r="C104" s="3">
        <v>6</v>
      </c>
      <c r="D104" s="3">
        <v>10.72</v>
      </c>
      <c r="E104" s="3">
        <v>7.54</v>
      </c>
      <c r="F104" s="3">
        <v>2.78</v>
      </c>
      <c r="G104" s="3">
        <v>20.61</v>
      </c>
      <c r="H104" s="3" t="s">
        <v>206</v>
      </c>
      <c r="I104" s="3" t="s">
        <v>207</v>
      </c>
      <c r="J104" s="3" t="s">
        <v>196</v>
      </c>
      <c r="K104" s="3" t="s">
        <v>214</v>
      </c>
      <c r="L104" s="3">
        <v>14</v>
      </c>
      <c r="M104" s="3">
        <v>10</v>
      </c>
      <c r="N104" s="3" t="s">
        <v>198</v>
      </c>
      <c r="O104" s="3" t="s">
        <v>199</v>
      </c>
    </row>
    <row r="105" spans="1:15" x14ac:dyDescent="0.25">
      <c r="A105" s="3">
        <v>104</v>
      </c>
      <c r="B105" s="3">
        <v>4.29</v>
      </c>
      <c r="C105" s="3">
        <v>16</v>
      </c>
      <c r="D105" s="3">
        <v>11.5</v>
      </c>
      <c r="E105" s="3">
        <v>6.62</v>
      </c>
      <c r="F105" s="3">
        <v>3.97</v>
      </c>
      <c r="G105" s="3">
        <v>7.1</v>
      </c>
      <c r="H105" s="3" t="s">
        <v>200</v>
      </c>
      <c r="I105" s="3" t="s">
        <v>210</v>
      </c>
      <c r="J105" s="3" t="s">
        <v>202</v>
      </c>
      <c r="K105" s="3" t="s">
        <v>214</v>
      </c>
      <c r="L105" s="3">
        <v>9</v>
      </c>
      <c r="M105" s="3">
        <v>7</v>
      </c>
      <c r="N105" s="3" t="s">
        <v>198</v>
      </c>
      <c r="O105" s="3" t="s">
        <v>205</v>
      </c>
    </row>
    <row r="106" spans="1:15" x14ac:dyDescent="0.25">
      <c r="A106" s="3">
        <v>105</v>
      </c>
      <c r="B106" s="3">
        <v>3.22</v>
      </c>
      <c r="C106" s="3">
        <v>7</v>
      </c>
      <c r="D106" s="3">
        <v>9.11</v>
      </c>
      <c r="E106" s="3">
        <v>8.08</v>
      </c>
      <c r="F106" s="3">
        <v>2.2200000000000002</v>
      </c>
      <c r="G106" s="3">
        <v>12.63</v>
      </c>
      <c r="H106" s="3" t="s">
        <v>181</v>
      </c>
      <c r="I106" s="3" t="s">
        <v>207</v>
      </c>
      <c r="J106" s="3" t="s">
        <v>202</v>
      </c>
      <c r="K106" s="3" t="s">
        <v>214</v>
      </c>
      <c r="L106" s="3">
        <v>8</v>
      </c>
      <c r="M106" s="3">
        <v>1</v>
      </c>
      <c r="N106" s="3" t="s">
        <v>204</v>
      </c>
      <c r="O106" s="3" t="s">
        <v>199</v>
      </c>
    </row>
    <row r="107" spans="1:15" x14ac:dyDescent="0.25">
      <c r="A107" s="3">
        <v>106</v>
      </c>
      <c r="B107" s="3">
        <v>3.77</v>
      </c>
      <c r="C107" s="3">
        <v>20</v>
      </c>
      <c r="D107" s="3">
        <v>7.56</v>
      </c>
      <c r="E107" s="3">
        <v>5.33</v>
      </c>
      <c r="F107" s="3">
        <v>0.71</v>
      </c>
      <c r="G107" s="3">
        <v>19.739999999999998</v>
      </c>
      <c r="H107" s="3" t="s">
        <v>211</v>
      </c>
      <c r="I107" s="3" t="s">
        <v>208</v>
      </c>
      <c r="J107" s="3" t="s">
        <v>212</v>
      </c>
      <c r="K107" s="3" t="s">
        <v>213</v>
      </c>
      <c r="L107" s="3">
        <v>0</v>
      </c>
      <c r="M107" s="3">
        <v>0</v>
      </c>
      <c r="N107" s="3" t="s">
        <v>198</v>
      </c>
      <c r="O107" s="3" t="s">
        <v>199</v>
      </c>
    </row>
    <row r="108" spans="1:15" x14ac:dyDescent="0.25">
      <c r="A108" s="3">
        <v>107</v>
      </c>
      <c r="B108" s="3">
        <v>2.25</v>
      </c>
      <c r="C108" s="3">
        <v>28</v>
      </c>
      <c r="D108" s="3">
        <v>8.89</v>
      </c>
      <c r="E108" s="3">
        <v>5.88</v>
      </c>
      <c r="F108" s="3">
        <v>1.1499999999999999</v>
      </c>
      <c r="G108" s="3">
        <v>6.29</v>
      </c>
      <c r="H108" s="3" t="s">
        <v>181</v>
      </c>
      <c r="I108" s="3" t="s">
        <v>208</v>
      </c>
      <c r="J108" s="3" t="s">
        <v>196</v>
      </c>
      <c r="K108" s="3" t="s">
        <v>213</v>
      </c>
      <c r="L108" s="3">
        <v>5</v>
      </c>
      <c r="M108" s="3">
        <v>0</v>
      </c>
      <c r="N108" s="3" t="s">
        <v>198</v>
      </c>
      <c r="O108" s="3" t="s">
        <v>205</v>
      </c>
    </row>
    <row r="109" spans="1:15" x14ac:dyDescent="0.25">
      <c r="A109" s="3">
        <v>108</v>
      </c>
      <c r="B109" s="3">
        <v>4.6500000000000004</v>
      </c>
      <c r="C109" s="3">
        <v>8</v>
      </c>
      <c r="D109" s="3">
        <v>4.1100000000000003</v>
      </c>
      <c r="E109" s="3">
        <v>7.57</v>
      </c>
      <c r="F109" s="3">
        <v>0.7</v>
      </c>
      <c r="G109" s="3">
        <v>25</v>
      </c>
      <c r="H109" s="3" t="s">
        <v>211</v>
      </c>
      <c r="I109" s="3" t="s">
        <v>201</v>
      </c>
      <c r="J109" s="3" t="s">
        <v>215</v>
      </c>
      <c r="K109" s="3" t="s">
        <v>214</v>
      </c>
      <c r="L109" s="3">
        <v>6</v>
      </c>
      <c r="M109" s="3">
        <v>0</v>
      </c>
      <c r="N109" s="3" t="s">
        <v>198</v>
      </c>
      <c r="O109" s="3" t="s">
        <v>199</v>
      </c>
    </row>
    <row r="110" spans="1:15" x14ac:dyDescent="0.25">
      <c r="A110" s="3">
        <v>109</v>
      </c>
      <c r="B110" s="3">
        <v>5.66</v>
      </c>
      <c r="C110" s="3">
        <v>28</v>
      </c>
      <c r="D110" s="3">
        <v>5</v>
      </c>
      <c r="E110" s="3">
        <v>8.1999999999999993</v>
      </c>
      <c r="F110" s="3">
        <v>1.38</v>
      </c>
      <c r="G110" s="3">
        <v>6.94</v>
      </c>
      <c r="H110" s="3" t="s">
        <v>211</v>
      </c>
      <c r="I110" s="3" t="s">
        <v>210</v>
      </c>
      <c r="J110" s="3" t="s">
        <v>196</v>
      </c>
      <c r="K110" s="3" t="s">
        <v>197</v>
      </c>
      <c r="L110" s="3">
        <v>1</v>
      </c>
      <c r="M110" s="3">
        <v>0</v>
      </c>
      <c r="N110" s="3" t="s">
        <v>198</v>
      </c>
      <c r="O110" s="3" t="s">
        <v>205</v>
      </c>
    </row>
    <row r="111" spans="1:15" x14ac:dyDescent="0.25">
      <c r="A111" s="3">
        <v>110</v>
      </c>
      <c r="B111" s="3">
        <v>2.1800000000000002</v>
      </c>
      <c r="C111" s="3">
        <v>29</v>
      </c>
      <c r="D111" s="3">
        <v>4.49</v>
      </c>
      <c r="E111" s="3">
        <v>9</v>
      </c>
      <c r="F111" s="3">
        <v>3.85</v>
      </c>
      <c r="G111" s="3">
        <v>7.18</v>
      </c>
      <c r="H111" s="3" t="s">
        <v>181</v>
      </c>
      <c r="I111" s="3" t="s">
        <v>207</v>
      </c>
      <c r="J111" s="3" t="s">
        <v>196</v>
      </c>
      <c r="K111" s="3" t="s">
        <v>203</v>
      </c>
      <c r="L111" s="3">
        <v>17</v>
      </c>
      <c r="M111" s="3">
        <v>8</v>
      </c>
      <c r="N111" s="3" t="s">
        <v>198</v>
      </c>
      <c r="O111" s="3" t="s">
        <v>199</v>
      </c>
    </row>
    <row r="112" spans="1:15" x14ac:dyDescent="0.25">
      <c r="A112" s="3">
        <v>111</v>
      </c>
      <c r="B112" s="3">
        <v>1.78</v>
      </c>
      <c r="C112" s="3">
        <v>10</v>
      </c>
      <c r="D112" s="3">
        <v>6.43</v>
      </c>
      <c r="E112" s="3">
        <v>8.58</v>
      </c>
      <c r="F112" s="3">
        <v>4.3499999999999996</v>
      </c>
      <c r="G112" s="3">
        <v>9.15</v>
      </c>
      <c r="H112" s="3" t="s">
        <v>206</v>
      </c>
      <c r="I112" s="3" t="s">
        <v>207</v>
      </c>
      <c r="J112" s="3" t="s">
        <v>196</v>
      </c>
      <c r="K112" s="3" t="s">
        <v>214</v>
      </c>
      <c r="L112" s="3">
        <v>4</v>
      </c>
      <c r="M112" s="3">
        <v>2</v>
      </c>
      <c r="N112" s="3" t="s">
        <v>204</v>
      </c>
      <c r="O112" s="3" t="s">
        <v>199</v>
      </c>
    </row>
    <row r="113" spans="1:15" x14ac:dyDescent="0.25">
      <c r="A113" s="3">
        <v>112</v>
      </c>
      <c r="B113" s="3">
        <v>2</v>
      </c>
      <c r="C113" s="3">
        <v>5</v>
      </c>
      <c r="D113" s="3">
        <v>5.32</v>
      </c>
      <c r="E113" s="3">
        <v>8.57</v>
      </c>
      <c r="F113" s="3">
        <v>0.65</v>
      </c>
      <c r="G113" s="3">
        <v>12.57</v>
      </c>
      <c r="H113" s="3" t="s">
        <v>200</v>
      </c>
      <c r="I113" s="3" t="s">
        <v>207</v>
      </c>
      <c r="J113" s="3" t="s">
        <v>202</v>
      </c>
      <c r="K113" s="3" t="s">
        <v>203</v>
      </c>
      <c r="L113" s="3">
        <v>8</v>
      </c>
      <c r="M113" s="3">
        <v>7</v>
      </c>
      <c r="N113" s="3" t="s">
        <v>198</v>
      </c>
      <c r="O113" s="3" t="s">
        <v>199</v>
      </c>
    </row>
    <row r="114" spans="1:15" x14ac:dyDescent="0.25">
      <c r="A114" s="3">
        <v>113</v>
      </c>
      <c r="B114" s="3">
        <v>4.7</v>
      </c>
      <c r="C114" s="3">
        <v>15</v>
      </c>
      <c r="D114" s="3">
        <v>8.0299999999999994</v>
      </c>
      <c r="E114" s="3">
        <v>4.72</v>
      </c>
      <c r="F114" s="3">
        <v>1.02</v>
      </c>
      <c r="G114" s="3">
        <v>23.59</v>
      </c>
      <c r="H114" s="3" t="s">
        <v>181</v>
      </c>
      <c r="I114" s="3" t="s">
        <v>207</v>
      </c>
      <c r="J114" s="3" t="s">
        <v>215</v>
      </c>
      <c r="K114" s="3" t="s">
        <v>203</v>
      </c>
      <c r="L114" s="3">
        <v>25</v>
      </c>
      <c r="M114" s="3">
        <v>24</v>
      </c>
      <c r="N114" s="3" t="s">
        <v>198</v>
      </c>
      <c r="O114" s="3" t="s">
        <v>199</v>
      </c>
    </row>
    <row r="115" spans="1:15" x14ac:dyDescent="0.25">
      <c r="A115" s="3">
        <v>114</v>
      </c>
      <c r="B115" s="3">
        <v>1.1599999999999999</v>
      </c>
      <c r="C115" s="3">
        <v>17</v>
      </c>
      <c r="D115" s="3">
        <v>7.06</v>
      </c>
      <c r="E115" s="3">
        <v>7.28</v>
      </c>
      <c r="F115" s="3">
        <v>1.1599999999999999</v>
      </c>
      <c r="G115" s="3">
        <v>9.6300000000000008</v>
      </c>
      <c r="H115" s="3" t="s">
        <v>200</v>
      </c>
      <c r="I115" s="3" t="s">
        <v>195</v>
      </c>
      <c r="J115" s="3" t="s">
        <v>196</v>
      </c>
      <c r="K115" s="3" t="s">
        <v>213</v>
      </c>
      <c r="L115" s="3">
        <v>5</v>
      </c>
      <c r="M115" s="3">
        <v>2</v>
      </c>
      <c r="N115" s="3" t="s">
        <v>198</v>
      </c>
      <c r="O115" s="3" t="s">
        <v>205</v>
      </c>
    </row>
    <row r="116" spans="1:15" x14ac:dyDescent="0.25">
      <c r="A116" s="3">
        <v>115</v>
      </c>
      <c r="B116" s="3">
        <v>2.21</v>
      </c>
      <c r="C116" s="3">
        <v>22</v>
      </c>
      <c r="D116" s="3">
        <v>10.050000000000001</v>
      </c>
      <c r="E116" s="3">
        <v>9.8800000000000008</v>
      </c>
      <c r="F116" s="3">
        <v>3.35</v>
      </c>
      <c r="G116" s="3">
        <v>12.16</v>
      </c>
      <c r="H116" s="3" t="s">
        <v>200</v>
      </c>
      <c r="I116" s="3" t="s">
        <v>201</v>
      </c>
      <c r="J116" s="3" t="s">
        <v>212</v>
      </c>
      <c r="K116" s="3" t="s">
        <v>203</v>
      </c>
      <c r="L116" s="3">
        <v>24</v>
      </c>
      <c r="M116" s="3">
        <v>19</v>
      </c>
      <c r="N116" s="3" t="s">
        <v>198</v>
      </c>
      <c r="O116" s="3" t="s">
        <v>199</v>
      </c>
    </row>
    <row r="117" spans="1:15" x14ac:dyDescent="0.25">
      <c r="A117" s="3">
        <v>116</v>
      </c>
      <c r="B117" s="3">
        <v>4.91</v>
      </c>
      <c r="C117" s="3">
        <v>8</v>
      </c>
      <c r="D117" s="3">
        <v>5.31</v>
      </c>
      <c r="E117" s="3">
        <v>3.3</v>
      </c>
      <c r="F117" s="3">
        <v>2.44</v>
      </c>
      <c r="G117" s="3">
        <v>14.18</v>
      </c>
      <c r="H117" s="3" t="s">
        <v>200</v>
      </c>
      <c r="I117" s="3" t="s">
        <v>207</v>
      </c>
      <c r="J117" s="3" t="s">
        <v>202</v>
      </c>
      <c r="K117" s="3" t="s">
        <v>213</v>
      </c>
      <c r="L117" s="3">
        <v>4</v>
      </c>
      <c r="M117" s="3">
        <v>3</v>
      </c>
      <c r="N117" s="3" t="s">
        <v>204</v>
      </c>
      <c r="O117" s="3" t="s">
        <v>199</v>
      </c>
    </row>
    <row r="118" spans="1:15" x14ac:dyDescent="0.25">
      <c r="A118" s="3">
        <v>117</v>
      </c>
      <c r="B118" s="3">
        <v>5.94</v>
      </c>
      <c r="C118" s="3">
        <v>19</v>
      </c>
      <c r="D118" s="3">
        <v>9.06</v>
      </c>
      <c r="E118" s="3">
        <v>8.3699999999999992</v>
      </c>
      <c r="F118" s="3">
        <v>2.48</v>
      </c>
      <c r="G118" s="3">
        <v>11.85</v>
      </c>
      <c r="H118" s="3" t="s">
        <v>200</v>
      </c>
      <c r="I118" s="3" t="s">
        <v>207</v>
      </c>
      <c r="J118" s="3" t="s">
        <v>202</v>
      </c>
      <c r="K118" s="3" t="s">
        <v>209</v>
      </c>
      <c r="L118" s="3">
        <v>15</v>
      </c>
      <c r="M118" s="3">
        <v>14</v>
      </c>
      <c r="N118" s="3" t="s">
        <v>198</v>
      </c>
      <c r="O118" s="3" t="s">
        <v>205</v>
      </c>
    </row>
    <row r="119" spans="1:15" x14ac:dyDescent="0.25">
      <c r="A119" s="3">
        <v>118</v>
      </c>
      <c r="B119" s="3">
        <v>3.98</v>
      </c>
      <c r="C119" s="3">
        <v>10</v>
      </c>
      <c r="D119" s="3">
        <v>3.27</v>
      </c>
      <c r="E119" s="3">
        <v>8.3000000000000007</v>
      </c>
      <c r="F119" s="3">
        <v>1.35</v>
      </c>
      <c r="G119" s="3">
        <v>7.07</v>
      </c>
      <c r="H119" s="3" t="s">
        <v>181</v>
      </c>
      <c r="I119" s="3" t="s">
        <v>208</v>
      </c>
      <c r="J119" s="3" t="s">
        <v>215</v>
      </c>
      <c r="K119" s="3" t="s">
        <v>197</v>
      </c>
      <c r="L119" s="3">
        <v>16</v>
      </c>
      <c r="M119" s="3">
        <v>8</v>
      </c>
      <c r="N119" s="3" t="s">
        <v>204</v>
      </c>
      <c r="O119" s="3" t="s">
        <v>199</v>
      </c>
    </row>
    <row r="120" spans="1:15" x14ac:dyDescent="0.25">
      <c r="A120" s="3">
        <v>119</v>
      </c>
      <c r="B120" s="3">
        <v>2.68</v>
      </c>
      <c r="C120" s="3">
        <v>17</v>
      </c>
      <c r="D120" s="3">
        <v>3.34</v>
      </c>
      <c r="E120" s="3">
        <v>4.6500000000000004</v>
      </c>
      <c r="F120" s="3">
        <v>3.64</v>
      </c>
      <c r="G120" s="3">
        <v>9.56</v>
      </c>
      <c r="H120" s="3" t="s">
        <v>206</v>
      </c>
      <c r="I120" s="3" t="s">
        <v>195</v>
      </c>
      <c r="J120" s="3" t="s">
        <v>215</v>
      </c>
      <c r="K120" s="3" t="s">
        <v>209</v>
      </c>
      <c r="L120" s="3">
        <v>11</v>
      </c>
      <c r="M120" s="3">
        <v>8</v>
      </c>
      <c r="N120" s="3" t="s">
        <v>198</v>
      </c>
      <c r="O120" s="3" t="s">
        <v>205</v>
      </c>
    </row>
    <row r="121" spans="1:15" x14ac:dyDescent="0.25">
      <c r="A121" s="3">
        <v>120</v>
      </c>
      <c r="B121" s="3">
        <v>4.24</v>
      </c>
      <c r="C121" s="3">
        <v>11</v>
      </c>
      <c r="D121" s="3">
        <v>4.5599999999999996</v>
      </c>
      <c r="E121" s="3">
        <v>4.87</v>
      </c>
      <c r="F121" s="3">
        <v>1.94</v>
      </c>
      <c r="G121" s="3">
        <v>5.81</v>
      </c>
      <c r="H121" s="3" t="s">
        <v>211</v>
      </c>
      <c r="I121" s="3" t="s">
        <v>208</v>
      </c>
      <c r="J121" s="3" t="s">
        <v>202</v>
      </c>
      <c r="K121" s="3" t="s">
        <v>197</v>
      </c>
      <c r="L121" s="3">
        <v>18</v>
      </c>
      <c r="M121" s="3">
        <v>10</v>
      </c>
      <c r="N121" s="3" t="s">
        <v>198</v>
      </c>
      <c r="O121" s="3" t="s">
        <v>199</v>
      </c>
    </row>
    <row r="122" spans="1:15" x14ac:dyDescent="0.25">
      <c r="A122" s="3">
        <v>121</v>
      </c>
      <c r="B122" s="3">
        <v>2.3199999999999998</v>
      </c>
      <c r="C122" s="3">
        <v>5</v>
      </c>
      <c r="D122" s="3">
        <v>8.52</v>
      </c>
      <c r="E122" s="3">
        <v>3.48</v>
      </c>
      <c r="F122" s="3">
        <v>3.23</v>
      </c>
      <c r="G122" s="3">
        <v>11.38</v>
      </c>
      <c r="H122" s="3" t="s">
        <v>211</v>
      </c>
      <c r="I122" s="3" t="s">
        <v>210</v>
      </c>
      <c r="J122" s="3" t="s">
        <v>196</v>
      </c>
      <c r="K122" s="3" t="s">
        <v>197</v>
      </c>
      <c r="L122" s="3">
        <v>19</v>
      </c>
      <c r="M122" s="3">
        <v>13</v>
      </c>
      <c r="N122" s="3" t="s">
        <v>198</v>
      </c>
      <c r="O122" s="3" t="s">
        <v>199</v>
      </c>
    </row>
    <row r="123" spans="1:15" x14ac:dyDescent="0.25">
      <c r="A123" s="3">
        <v>122</v>
      </c>
      <c r="B123" s="3">
        <v>4.6900000000000004</v>
      </c>
      <c r="C123" s="3">
        <v>9</v>
      </c>
      <c r="D123" s="3">
        <v>8.0399999999999991</v>
      </c>
      <c r="E123" s="3">
        <v>8.19</v>
      </c>
      <c r="F123" s="3">
        <v>2.39</v>
      </c>
      <c r="G123" s="3">
        <v>24.58</v>
      </c>
      <c r="H123" s="3" t="s">
        <v>181</v>
      </c>
      <c r="I123" s="3" t="s">
        <v>201</v>
      </c>
      <c r="J123" s="3" t="s">
        <v>212</v>
      </c>
      <c r="K123" s="3" t="s">
        <v>209</v>
      </c>
      <c r="L123" s="3">
        <v>4</v>
      </c>
      <c r="M123" s="3">
        <v>0</v>
      </c>
      <c r="N123" s="3" t="s">
        <v>204</v>
      </c>
      <c r="O123" s="3" t="s">
        <v>199</v>
      </c>
    </row>
    <row r="124" spans="1:15" x14ac:dyDescent="0.25">
      <c r="A124" s="3">
        <v>123</v>
      </c>
      <c r="B124" s="3">
        <v>5.41</v>
      </c>
      <c r="C124" s="3">
        <v>14</v>
      </c>
      <c r="D124" s="3">
        <v>3.89</v>
      </c>
      <c r="E124" s="3">
        <v>7.02</v>
      </c>
      <c r="F124" s="3">
        <v>3.5</v>
      </c>
      <c r="G124" s="3">
        <v>5.05</v>
      </c>
      <c r="H124" s="3" t="s">
        <v>181</v>
      </c>
      <c r="I124" s="3" t="s">
        <v>210</v>
      </c>
      <c r="J124" s="3" t="s">
        <v>202</v>
      </c>
      <c r="K124" s="3" t="s">
        <v>197</v>
      </c>
      <c r="L124" s="3">
        <v>5</v>
      </c>
      <c r="M124" s="3">
        <v>0</v>
      </c>
      <c r="N124" s="3" t="s">
        <v>204</v>
      </c>
      <c r="O124" s="3" t="s">
        <v>205</v>
      </c>
    </row>
    <row r="125" spans="1:15" x14ac:dyDescent="0.25">
      <c r="A125" s="3">
        <v>124</v>
      </c>
      <c r="B125" s="3">
        <v>2.2599999999999998</v>
      </c>
      <c r="C125" s="3">
        <v>14</v>
      </c>
      <c r="D125" s="3">
        <v>7.95</v>
      </c>
      <c r="E125" s="3">
        <v>4.1100000000000003</v>
      </c>
      <c r="F125" s="3">
        <v>4.03</v>
      </c>
      <c r="G125" s="3">
        <v>17.64</v>
      </c>
      <c r="H125" s="3" t="s">
        <v>181</v>
      </c>
      <c r="I125" s="3" t="s">
        <v>195</v>
      </c>
      <c r="J125" s="3" t="s">
        <v>215</v>
      </c>
      <c r="K125" s="3" t="s">
        <v>209</v>
      </c>
      <c r="L125" s="3">
        <v>11</v>
      </c>
      <c r="M125" s="3">
        <v>9</v>
      </c>
      <c r="N125" s="3" t="s">
        <v>198</v>
      </c>
      <c r="O125" s="3" t="s">
        <v>199</v>
      </c>
    </row>
    <row r="126" spans="1:15" x14ac:dyDescent="0.25">
      <c r="A126" s="3">
        <v>125</v>
      </c>
      <c r="B126" s="3">
        <v>5.22</v>
      </c>
      <c r="C126" s="3">
        <v>30</v>
      </c>
      <c r="D126" s="3">
        <v>9.83</v>
      </c>
      <c r="E126" s="3">
        <v>2.83</v>
      </c>
      <c r="F126" s="3">
        <v>1.95</v>
      </c>
      <c r="G126" s="3">
        <v>20.59</v>
      </c>
      <c r="H126" s="3" t="s">
        <v>206</v>
      </c>
      <c r="I126" s="3" t="s">
        <v>201</v>
      </c>
      <c r="J126" s="3" t="s">
        <v>212</v>
      </c>
      <c r="K126" s="3" t="s">
        <v>213</v>
      </c>
      <c r="L126" s="3">
        <v>3</v>
      </c>
      <c r="M126" s="3">
        <v>0</v>
      </c>
      <c r="N126" s="3" t="s">
        <v>204</v>
      </c>
      <c r="O126" s="3" t="s">
        <v>199</v>
      </c>
    </row>
    <row r="127" spans="1:15" x14ac:dyDescent="0.25">
      <c r="A127" s="3">
        <v>126</v>
      </c>
      <c r="B127" s="3">
        <v>2.63</v>
      </c>
      <c r="C127" s="3">
        <v>14</v>
      </c>
      <c r="D127" s="3">
        <v>10.68</v>
      </c>
      <c r="E127" s="3">
        <v>4.96</v>
      </c>
      <c r="F127" s="3">
        <v>2.77</v>
      </c>
      <c r="G127" s="3">
        <v>20.81</v>
      </c>
      <c r="H127" s="3" t="s">
        <v>200</v>
      </c>
      <c r="I127" s="3" t="s">
        <v>195</v>
      </c>
      <c r="J127" s="3" t="s">
        <v>202</v>
      </c>
      <c r="K127" s="3" t="s">
        <v>197</v>
      </c>
      <c r="L127" s="3">
        <v>16</v>
      </c>
      <c r="M127" s="3">
        <v>16</v>
      </c>
      <c r="N127" s="3" t="s">
        <v>204</v>
      </c>
      <c r="O127" s="3" t="s">
        <v>199</v>
      </c>
    </row>
    <row r="128" spans="1:15" x14ac:dyDescent="0.25">
      <c r="A128" s="3">
        <v>127</v>
      </c>
      <c r="B128" s="3">
        <v>2.3199999999999998</v>
      </c>
      <c r="C128" s="3">
        <v>30</v>
      </c>
      <c r="D128" s="3">
        <v>9.59</v>
      </c>
      <c r="E128" s="3">
        <v>4.87</v>
      </c>
      <c r="F128" s="3">
        <v>1.2</v>
      </c>
      <c r="G128" s="3">
        <v>23.39</v>
      </c>
      <c r="H128" s="3" t="s">
        <v>181</v>
      </c>
      <c r="I128" s="3" t="s">
        <v>210</v>
      </c>
      <c r="J128" s="3" t="s">
        <v>202</v>
      </c>
      <c r="K128" s="3" t="s">
        <v>213</v>
      </c>
      <c r="L128" s="3">
        <v>24</v>
      </c>
      <c r="M128" s="3">
        <v>18</v>
      </c>
      <c r="N128" s="3" t="s">
        <v>198</v>
      </c>
      <c r="O128" s="3" t="s">
        <v>205</v>
      </c>
    </row>
    <row r="129" spans="1:15" x14ac:dyDescent="0.25">
      <c r="A129" s="3">
        <v>128</v>
      </c>
      <c r="B129" s="3">
        <v>1.99</v>
      </c>
      <c r="C129" s="3">
        <v>14</v>
      </c>
      <c r="D129" s="3">
        <v>9.74</v>
      </c>
      <c r="E129" s="3">
        <v>8.08</v>
      </c>
      <c r="F129" s="3">
        <v>4.3600000000000003</v>
      </c>
      <c r="G129" s="3">
        <v>17.48</v>
      </c>
      <c r="H129" s="3" t="s">
        <v>181</v>
      </c>
      <c r="I129" s="3" t="s">
        <v>207</v>
      </c>
      <c r="J129" s="3" t="s">
        <v>212</v>
      </c>
      <c r="K129" s="3" t="s">
        <v>214</v>
      </c>
      <c r="L129" s="3">
        <v>13</v>
      </c>
      <c r="M129" s="3">
        <v>12</v>
      </c>
      <c r="N129" s="3" t="s">
        <v>204</v>
      </c>
      <c r="O129" s="3" t="s">
        <v>205</v>
      </c>
    </row>
    <row r="130" spans="1:15" x14ac:dyDescent="0.25">
      <c r="A130" s="3">
        <v>129</v>
      </c>
      <c r="B130" s="3">
        <v>3.54</v>
      </c>
      <c r="C130" s="3">
        <v>20</v>
      </c>
      <c r="D130" s="3">
        <v>6.78</v>
      </c>
      <c r="E130" s="3">
        <v>3.72</v>
      </c>
      <c r="F130" s="3">
        <v>4.38</v>
      </c>
      <c r="G130" s="3">
        <v>5.75</v>
      </c>
      <c r="H130" s="3" t="s">
        <v>206</v>
      </c>
      <c r="I130" s="3" t="s">
        <v>210</v>
      </c>
      <c r="J130" s="3" t="s">
        <v>212</v>
      </c>
      <c r="K130" s="3" t="s">
        <v>203</v>
      </c>
      <c r="L130" s="3">
        <v>11</v>
      </c>
      <c r="M130" s="3">
        <v>1</v>
      </c>
      <c r="N130" s="3" t="s">
        <v>204</v>
      </c>
      <c r="O130" s="3" t="s">
        <v>205</v>
      </c>
    </row>
    <row r="131" spans="1:15" x14ac:dyDescent="0.25">
      <c r="A131" s="3">
        <v>130</v>
      </c>
      <c r="B131" s="3">
        <v>5.82</v>
      </c>
      <c r="C131" s="3">
        <v>18</v>
      </c>
      <c r="D131" s="3">
        <v>9.19</v>
      </c>
      <c r="E131" s="3">
        <v>9.35</v>
      </c>
      <c r="F131" s="3">
        <v>2.93</v>
      </c>
      <c r="G131" s="3">
        <v>11.82</v>
      </c>
      <c r="H131" s="3" t="s">
        <v>211</v>
      </c>
      <c r="I131" s="3" t="s">
        <v>210</v>
      </c>
      <c r="J131" s="3" t="s">
        <v>212</v>
      </c>
      <c r="K131" s="3" t="s">
        <v>197</v>
      </c>
      <c r="L131" s="3">
        <v>16</v>
      </c>
      <c r="M131" s="3">
        <v>12</v>
      </c>
      <c r="N131" s="3" t="s">
        <v>204</v>
      </c>
      <c r="O131" s="3" t="s">
        <v>199</v>
      </c>
    </row>
    <row r="132" spans="1:15" x14ac:dyDescent="0.25">
      <c r="A132" s="3">
        <v>131</v>
      </c>
      <c r="B132" s="3">
        <v>1.1299999999999999</v>
      </c>
      <c r="C132" s="3">
        <v>6</v>
      </c>
      <c r="D132" s="3">
        <v>4.93</v>
      </c>
      <c r="E132" s="3">
        <v>7.21</v>
      </c>
      <c r="F132" s="3">
        <v>4.4000000000000004</v>
      </c>
      <c r="G132" s="3">
        <v>14.92</v>
      </c>
      <c r="H132" s="3" t="s">
        <v>206</v>
      </c>
      <c r="I132" s="3" t="s">
        <v>195</v>
      </c>
      <c r="J132" s="3" t="s">
        <v>215</v>
      </c>
      <c r="K132" s="3" t="s">
        <v>197</v>
      </c>
      <c r="L132" s="3">
        <v>14</v>
      </c>
      <c r="M132" s="3">
        <v>4</v>
      </c>
      <c r="N132" s="3" t="s">
        <v>204</v>
      </c>
      <c r="O132" s="3" t="s">
        <v>205</v>
      </c>
    </row>
    <row r="133" spans="1:15" x14ac:dyDescent="0.25">
      <c r="A133" s="3">
        <v>132</v>
      </c>
      <c r="B133" s="3">
        <v>5.21</v>
      </c>
      <c r="C133" s="3">
        <v>5</v>
      </c>
      <c r="D133" s="3">
        <v>3.17</v>
      </c>
      <c r="E133" s="3">
        <v>2.92</v>
      </c>
      <c r="F133" s="3">
        <v>0.63</v>
      </c>
      <c r="G133" s="3">
        <v>16.82</v>
      </c>
      <c r="H133" s="3" t="s">
        <v>181</v>
      </c>
      <c r="I133" s="3" t="s">
        <v>210</v>
      </c>
      <c r="J133" s="3" t="s">
        <v>202</v>
      </c>
      <c r="K133" s="3" t="s">
        <v>213</v>
      </c>
      <c r="L133" s="3">
        <v>2</v>
      </c>
      <c r="M133" s="3">
        <v>0</v>
      </c>
      <c r="N133" s="3" t="s">
        <v>198</v>
      </c>
      <c r="O133" s="3" t="s">
        <v>205</v>
      </c>
    </row>
    <row r="134" spans="1:15" x14ac:dyDescent="0.25">
      <c r="A134" s="3">
        <v>133</v>
      </c>
      <c r="B134" s="3">
        <v>4.92</v>
      </c>
      <c r="C134" s="3">
        <v>28</v>
      </c>
      <c r="D134" s="3">
        <v>5.01</v>
      </c>
      <c r="E134" s="3">
        <v>5.55</v>
      </c>
      <c r="F134" s="3">
        <v>1.53</v>
      </c>
      <c r="G134" s="3">
        <v>22.96</v>
      </c>
      <c r="H134" s="3" t="s">
        <v>211</v>
      </c>
      <c r="I134" s="3" t="s">
        <v>210</v>
      </c>
      <c r="J134" s="3" t="s">
        <v>212</v>
      </c>
      <c r="K134" s="3" t="s">
        <v>197</v>
      </c>
      <c r="L134" s="3">
        <v>21</v>
      </c>
      <c r="M134" s="3">
        <v>12</v>
      </c>
      <c r="N134" s="3" t="s">
        <v>198</v>
      </c>
      <c r="O134" s="3" t="s">
        <v>205</v>
      </c>
    </row>
    <row r="135" spans="1:15" x14ac:dyDescent="0.25">
      <c r="A135" s="3">
        <v>134</v>
      </c>
      <c r="B135" s="3">
        <v>3.4</v>
      </c>
      <c r="C135" s="3">
        <v>21</v>
      </c>
      <c r="D135" s="3">
        <v>11.58</v>
      </c>
      <c r="E135" s="3">
        <v>7.36</v>
      </c>
      <c r="F135" s="3">
        <v>3.16</v>
      </c>
      <c r="G135" s="3">
        <v>24.79</v>
      </c>
      <c r="H135" s="3" t="s">
        <v>206</v>
      </c>
      <c r="I135" s="3" t="s">
        <v>195</v>
      </c>
      <c r="J135" s="3" t="s">
        <v>202</v>
      </c>
      <c r="K135" s="3" t="s">
        <v>197</v>
      </c>
      <c r="L135" s="3">
        <v>23</v>
      </c>
      <c r="M135" s="3">
        <v>15</v>
      </c>
      <c r="N135" s="3" t="s">
        <v>198</v>
      </c>
      <c r="O135" s="3" t="s">
        <v>199</v>
      </c>
    </row>
    <row r="136" spans="1:15" x14ac:dyDescent="0.25">
      <c r="A136" s="3">
        <v>135</v>
      </c>
      <c r="B136" s="3">
        <v>4.5199999999999996</v>
      </c>
      <c r="C136" s="3">
        <v>14</v>
      </c>
      <c r="D136" s="3">
        <v>6.02</v>
      </c>
      <c r="E136" s="3">
        <v>2.31</v>
      </c>
      <c r="F136" s="3">
        <v>0.94</v>
      </c>
      <c r="G136" s="3">
        <v>10.5</v>
      </c>
      <c r="H136" s="3" t="s">
        <v>211</v>
      </c>
      <c r="I136" s="3" t="s">
        <v>195</v>
      </c>
      <c r="J136" s="3" t="s">
        <v>202</v>
      </c>
      <c r="K136" s="3" t="s">
        <v>209</v>
      </c>
      <c r="L136" s="3">
        <v>0</v>
      </c>
      <c r="M136" s="3">
        <v>0</v>
      </c>
      <c r="N136" s="3" t="s">
        <v>198</v>
      </c>
      <c r="O136" s="3" t="s">
        <v>205</v>
      </c>
    </row>
    <row r="137" spans="1:15" x14ac:dyDescent="0.25">
      <c r="A137" s="3">
        <v>136</v>
      </c>
      <c r="B137" s="3">
        <v>2.62</v>
      </c>
      <c r="C137" s="3">
        <v>6</v>
      </c>
      <c r="D137" s="3">
        <v>8</v>
      </c>
      <c r="E137" s="3">
        <v>4.6500000000000004</v>
      </c>
      <c r="F137" s="3">
        <v>1.66</v>
      </c>
      <c r="G137" s="3">
        <v>14.41</v>
      </c>
      <c r="H137" s="3" t="s">
        <v>200</v>
      </c>
      <c r="I137" s="3" t="s">
        <v>195</v>
      </c>
      <c r="J137" s="3" t="s">
        <v>212</v>
      </c>
      <c r="K137" s="3" t="s">
        <v>197</v>
      </c>
      <c r="L137" s="3">
        <v>16</v>
      </c>
      <c r="M137" s="3">
        <v>10</v>
      </c>
      <c r="N137" s="3" t="s">
        <v>204</v>
      </c>
      <c r="O137" s="3" t="s">
        <v>205</v>
      </c>
    </row>
    <row r="138" spans="1:15" x14ac:dyDescent="0.25">
      <c r="A138" s="3">
        <v>137</v>
      </c>
      <c r="B138" s="3">
        <v>3.03</v>
      </c>
      <c r="C138" s="3">
        <v>6</v>
      </c>
      <c r="D138" s="3">
        <v>7.12</v>
      </c>
      <c r="E138" s="3">
        <v>4.5199999999999996</v>
      </c>
      <c r="F138" s="3">
        <v>3.95</v>
      </c>
      <c r="G138" s="3">
        <v>7.87</v>
      </c>
      <c r="H138" s="3" t="s">
        <v>211</v>
      </c>
      <c r="I138" s="3" t="s">
        <v>210</v>
      </c>
      <c r="J138" s="3" t="s">
        <v>212</v>
      </c>
      <c r="K138" s="3" t="s">
        <v>197</v>
      </c>
      <c r="L138" s="3">
        <v>14</v>
      </c>
      <c r="M138" s="3">
        <v>5</v>
      </c>
      <c r="N138" s="3" t="s">
        <v>198</v>
      </c>
      <c r="O138" s="3" t="s">
        <v>199</v>
      </c>
    </row>
    <row r="139" spans="1:15" x14ac:dyDescent="0.25">
      <c r="A139" s="3">
        <v>138</v>
      </c>
      <c r="B139" s="3">
        <v>5.66</v>
      </c>
      <c r="C139" s="3">
        <v>12</v>
      </c>
      <c r="D139" s="3">
        <v>8.01</v>
      </c>
      <c r="E139" s="3">
        <v>8.2799999999999994</v>
      </c>
      <c r="F139" s="3">
        <v>2.3199999999999998</v>
      </c>
      <c r="G139" s="3">
        <v>23.53</v>
      </c>
      <c r="H139" s="3" t="s">
        <v>211</v>
      </c>
      <c r="I139" s="3" t="s">
        <v>207</v>
      </c>
      <c r="J139" s="3" t="s">
        <v>196</v>
      </c>
      <c r="K139" s="3" t="s">
        <v>197</v>
      </c>
      <c r="L139" s="3">
        <v>2</v>
      </c>
      <c r="M139" s="3">
        <v>0</v>
      </c>
      <c r="N139" s="3" t="s">
        <v>204</v>
      </c>
      <c r="O139" s="3" t="s">
        <v>199</v>
      </c>
    </row>
    <row r="140" spans="1:15" x14ac:dyDescent="0.25">
      <c r="A140" s="3">
        <v>139</v>
      </c>
      <c r="B140" s="3">
        <v>5.48</v>
      </c>
      <c r="C140" s="3">
        <v>15</v>
      </c>
      <c r="D140" s="3">
        <v>4.3600000000000003</v>
      </c>
      <c r="E140" s="3">
        <v>3.19</v>
      </c>
      <c r="F140" s="3">
        <v>0.64</v>
      </c>
      <c r="G140" s="3">
        <v>21.09</v>
      </c>
      <c r="H140" s="3" t="s">
        <v>206</v>
      </c>
      <c r="I140" s="3" t="s">
        <v>207</v>
      </c>
      <c r="J140" s="3" t="s">
        <v>215</v>
      </c>
      <c r="K140" s="3" t="s">
        <v>203</v>
      </c>
      <c r="L140" s="3">
        <v>17</v>
      </c>
      <c r="M140" s="3">
        <v>16</v>
      </c>
      <c r="N140" s="3" t="s">
        <v>204</v>
      </c>
      <c r="O140" s="3" t="s">
        <v>205</v>
      </c>
    </row>
    <row r="141" spans="1:15" x14ac:dyDescent="0.25">
      <c r="A141" s="3">
        <v>140</v>
      </c>
      <c r="B141" s="3">
        <v>3.21</v>
      </c>
      <c r="C141" s="3">
        <v>6</v>
      </c>
      <c r="D141" s="3">
        <v>5.0599999999999996</v>
      </c>
      <c r="E141" s="3">
        <v>3.99</v>
      </c>
      <c r="F141" s="3">
        <v>4.2699999999999996</v>
      </c>
      <c r="G141" s="3">
        <v>23.63</v>
      </c>
      <c r="H141" s="3" t="s">
        <v>200</v>
      </c>
      <c r="I141" s="3" t="s">
        <v>207</v>
      </c>
      <c r="J141" s="3" t="s">
        <v>196</v>
      </c>
      <c r="K141" s="3" t="s">
        <v>197</v>
      </c>
      <c r="L141" s="3">
        <v>23</v>
      </c>
      <c r="M141" s="3">
        <v>23</v>
      </c>
      <c r="N141" s="3" t="s">
        <v>198</v>
      </c>
      <c r="O141" s="3" t="s">
        <v>199</v>
      </c>
    </row>
    <row r="142" spans="1:15" x14ac:dyDescent="0.25">
      <c r="A142" s="3">
        <v>141</v>
      </c>
      <c r="B142" s="3">
        <v>1.2</v>
      </c>
      <c r="C142" s="3">
        <v>15</v>
      </c>
      <c r="D142" s="3">
        <v>10.91</v>
      </c>
      <c r="E142" s="3">
        <v>3.86</v>
      </c>
      <c r="F142" s="3">
        <v>1.36</v>
      </c>
      <c r="G142" s="3">
        <v>15.73</v>
      </c>
      <c r="H142" s="3" t="s">
        <v>200</v>
      </c>
      <c r="I142" s="3" t="s">
        <v>207</v>
      </c>
      <c r="J142" s="3" t="s">
        <v>215</v>
      </c>
      <c r="K142" s="3" t="s">
        <v>209</v>
      </c>
      <c r="L142" s="3">
        <v>15</v>
      </c>
      <c r="M142" s="3">
        <v>7</v>
      </c>
      <c r="N142" s="3" t="s">
        <v>198</v>
      </c>
      <c r="O142" s="3" t="s">
        <v>205</v>
      </c>
    </row>
    <row r="143" spans="1:15" x14ac:dyDescent="0.25">
      <c r="A143" s="3">
        <v>142</v>
      </c>
      <c r="B143" s="3">
        <v>3.19</v>
      </c>
      <c r="C143" s="3">
        <v>18</v>
      </c>
      <c r="D143" s="3">
        <v>8.48</v>
      </c>
      <c r="E143" s="3">
        <v>9.57</v>
      </c>
      <c r="F143" s="3">
        <v>2.95</v>
      </c>
      <c r="G143" s="3">
        <v>6.16</v>
      </c>
      <c r="H143" s="3" t="s">
        <v>181</v>
      </c>
      <c r="I143" s="3" t="s">
        <v>210</v>
      </c>
      <c r="J143" s="3" t="s">
        <v>212</v>
      </c>
      <c r="K143" s="3" t="s">
        <v>209</v>
      </c>
      <c r="L143" s="3">
        <v>21</v>
      </c>
      <c r="M143" s="3">
        <v>17</v>
      </c>
      <c r="N143" s="3" t="s">
        <v>198</v>
      </c>
      <c r="O143" s="3" t="s">
        <v>199</v>
      </c>
    </row>
    <row r="144" spans="1:15" x14ac:dyDescent="0.25">
      <c r="A144" s="3">
        <v>143</v>
      </c>
      <c r="B144" s="3">
        <v>3.26</v>
      </c>
      <c r="C144" s="3">
        <v>29</v>
      </c>
      <c r="D144" s="3">
        <v>8.83</v>
      </c>
      <c r="E144" s="3">
        <v>5.85</v>
      </c>
      <c r="F144" s="3">
        <v>0.55000000000000004</v>
      </c>
      <c r="G144" s="3">
        <v>20.25</v>
      </c>
      <c r="H144" s="3" t="s">
        <v>200</v>
      </c>
      <c r="I144" s="3" t="s">
        <v>207</v>
      </c>
      <c r="J144" s="3" t="s">
        <v>212</v>
      </c>
      <c r="K144" s="3" t="s">
        <v>213</v>
      </c>
      <c r="L144" s="3">
        <v>9</v>
      </c>
      <c r="M144" s="3">
        <v>7</v>
      </c>
      <c r="N144" s="3" t="s">
        <v>204</v>
      </c>
      <c r="O144" s="3" t="s">
        <v>205</v>
      </c>
    </row>
    <row r="145" spans="1:15" x14ac:dyDescent="0.25">
      <c r="A145" s="3">
        <v>144</v>
      </c>
      <c r="B145" s="3">
        <v>3.96</v>
      </c>
      <c r="C145" s="3">
        <v>20</v>
      </c>
      <c r="D145" s="3">
        <v>4.18</v>
      </c>
      <c r="E145" s="3">
        <v>5.35</v>
      </c>
      <c r="F145" s="3">
        <v>3.58</v>
      </c>
      <c r="G145" s="3">
        <v>13.5</v>
      </c>
      <c r="H145" s="3" t="s">
        <v>200</v>
      </c>
      <c r="I145" s="3" t="s">
        <v>207</v>
      </c>
      <c r="J145" s="3" t="s">
        <v>196</v>
      </c>
      <c r="K145" s="3" t="s">
        <v>197</v>
      </c>
      <c r="L145" s="3">
        <v>19</v>
      </c>
      <c r="M145" s="3">
        <v>16</v>
      </c>
      <c r="N145" s="3" t="s">
        <v>204</v>
      </c>
      <c r="O145" s="3" t="s">
        <v>199</v>
      </c>
    </row>
    <row r="146" spans="1:15" x14ac:dyDescent="0.25">
      <c r="A146" s="3">
        <v>145</v>
      </c>
      <c r="B146" s="3">
        <v>2.44</v>
      </c>
      <c r="C146" s="3">
        <v>12</v>
      </c>
      <c r="D146" s="3">
        <v>3.23</v>
      </c>
      <c r="E146" s="3">
        <v>8.07</v>
      </c>
      <c r="F146" s="3">
        <v>1.23</v>
      </c>
      <c r="G146" s="3">
        <v>9.8000000000000007</v>
      </c>
      <c r="H146" s="3" t="s">
        <v>211</v>
      </c>
      <c r="I146" s="3" t="s">
        <v>208</v>
      </c>
      <c r="J146" s="3" t="s">
        <v>212</v>
      </c>
      <c r="K146" s="3" t="s">
        <v>203</v>
      </c>
      <c r="L146" s="3">
        <v>12</v>
      </c>
      <c r="M146" s="3">
        <v>8</v>
      </c>
      <c r="N146" s="3" t="s">
        <v>204</v>
      </c>
      <c r="O146" s="3" t="s">
        <v>199</v>
      </c>
    </row>
    <row r="147" spans="1:15" x14ac:dyDescent="0.25">
      <c r="A147" s="3">
        <v>146</v>
      </c>
      <c r="B147" s="3">
        <v>4.3099999999999996</v>
      </c>
      <c r="C147" s="3">
        <v>3</v>
      </c>
      <c r="D147" s="3">
        <v>4.5</v>
      </c>
      <c r="E147" s="3">
        <v>3.77</v>
      </c>
      <c r="F147" s="3">
        <v>0.86</v>
      </c>
      <c r="G147" s="3">
        <v>9.3699999999999992</v>
      </c>
      <c r="H147" s="3" t="s">
        <v>181</v>
      </c>
      <c r="I147" s="3" t="s">
        <v>210</v>
      </c>
      <c r="J147" s="3" t="s">
        <v>202</v>
      </c>
      <c r="K147" s="3" t="s">
        <v>209</v>
      </c>
      <c r="L147" s="3">
        <v>13</v>
      </c>
      <c r="M147" s="3">
        <v>7</v>
      </c>
      <c r="N147" s="3" t="s">
        <v>198</v>
      </c>
      <c r="O147" s="3" t="s">
        <v>205</v>
      </c>
    </row>
    <row r="148" spans="1:15" x14ac:dyDescent="0.25">
      <c r="A148" s="3">
        <v>147</v>
      </c>
      <c r="B148" s="3">
        <v>5.91</v>
      </c>
      <c r="C148" s="3">
        <v>12</v>
      </c>
      <c r="D148" s="3">
        <v>5.56</v>
      </c>
      <c r="E148" s="3">
        <v>9</v>
      </c>
      <c r="F148" s="3">
        <v>4.3499999999999996</v>
      </c>
      <c r="G148" s="3">
        <v>5.92</v>
      </c>
      <c r="H148" s="3" t="s">
        <v>211</v>
      </c>
      <c r="I148" s="3" t="s">
        <v>195</v>
      </c>
      <c r="J148" s="3" t="s">
        <v>215</v>
      </c>
      <c r="K148" s="3" t="s">
        <v>203</v>
      </c>
      <c r="L148" s="3">
        <v>21</v>
      </c>
      <c r="M148" s="3">
        <v>16</v>
      </c>
      <c r="N148" s="3" t="s">
        <v>204</v>
      </c>
      <c r="O148" s="3" t="s">
        <v>199</v>
      </c>
    </row>
    <row r="149" spans="1:15" x14ac:dyDescent="0.25">
      <c r="A149" s="3">
        <v>148</v>
      </c>
      <c r="B149" s="3">
        <v>4.3499999999999996</v>
      </c>
      <c r="C149" s="3">
        <v>29</v>
      </c>
      <c r="D149" s="3">
        <v>9.2899999999999991</v>
      </c>
      <c r="E149" s="3">
        <v>8.24</v>
      </c>
      <c r="F149" s="3">
        <v>1.1499999999999999</v>
      </c>
      <c r="G149" s="3">
        <v>7.71</v>
      </c>
      <c r="H149" s="3" t="s">
        <v>200</v>
      </c>
      <c r="I149" s="3" t="s">
        <v>195</v>
      </c>
      <c r="J149" s="3" t="s">
        <v>215</v>
      </c>
      <c r="K149" s="3" t="s">
        <v>214</v>
      </c>
      <c r="L149" s="3">
        <v>17</v>
      </c>
      <c r="M149" s="3">
        <v>16</v>
      </c>
      <c r="N149" s="3" t="s">
        <v>198</v>
      </c>
      <c r="O149" s="3" t="s">
        <v>205</v>
      </c>
    </row>
    <row r="150" spans="1:15" x14ac:dyDescent="0.25">
      <c r="A150" s="3">
        <v>149</v>
      </c>
      <c r="B150" s="3">
        <v>0.5</v>
      </c>
      <c r="C150" s="3">
        <v>12</v>
      </c>
      <c r="D150" s="3">
        <v>5.26</v>
      </c>
      <c r="E150" s="3">
        <v>3.59</v>
      </c>
      <c r="F150" s="3">
        <v>1.1000000000000001</v>
      </c>
      <c r="G150" s="3">
        <v>17.59</v>
      </c>
      <c r="H150" s="3" t="s">
        <v>200</v>
      </c>
      <c r="I150" s="3" t="s">
        <v>201</v>
      </c>
      <c r="J150" s="3" t="s">
        <v>215</v>
      </c>
      <c r="K150" s="3" t="s">
        <v>197</v>
      </c>
      <c r="L150" s="3">
        <v>20</v>
      </c>
      <c r="M150" s="3">
        <v>11</v>
      </c>
      <c r="N150" s="3" t="s">
        <v>198</v>
      </c>
      <c r="O150" s="3" t="s">
        <v>199</v>
      </c>
    </row>
    <row r="151" spans="1:15" x14ac:dyDescent="0.25">
      <c r="A151" s="3">
        <v>150</v>
      </c>
      <c r="B151" s="3">
        <v>1.19</v>
      </c>
      <c r="C151" s="3">
        <v>11</v>
      </c>
      <c r="D151" s="3">
        <v>5.91</v>
      </c>
      <c r="E151" s="3">
        <v>5.21</v>
      </c>
      <c r="F151" s="3">
        <v>3.27</v>
      </c>
      <c r="G151" s="3">
        <v>16.54</v>
      </c>
      <c r="H151" s="3" t="s">
        <v>211</v>
      </c>
      <c r="I151" s="3" t="s">
        <v>195</v>
      </c>
      <c r="J151" s="3" t="s">
        <v>196</v>
      </c>
      <c r="K151" s="3" t="s">
        <v>203</v>
      </c>
      <c r="L151" s="3">
        <v>4</v>
      </c>
      <c r="M151" s="3">
        <v>0</v>
      </c>
      <c r="N151" s="3" t="s">
        <v>198</v>
      </c>
      <c r="O151" s="3" t="s">
        <v>205</v>
      </c>
    </row>
  </sheetData>
  <conditionalFormatting sqref="A1:O151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Personal Details</vt:lpstr>
      <vt:lpstr>Medical History</vt:lpstr>
      <vt:lpstr>Clinical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Modith M</cp:lastModifiedBy>
  <dcterms:created xsi:type="dcterms:W3CDTF">2025-12-01T11:34:01Z</dcterms:created>
  <dcterms:modified xsi:type="dcterms:W3CDTF">2025-12-03T13:54:24Z</dcterms:modified>
</cp:coreProperties>
</file>